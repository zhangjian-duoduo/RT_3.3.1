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835" windowHeight="11010" tabRatio="771"/>
  </bookViews>
  <sheets>
    <sheet name="PIN_MUX" sheetId="4" r:id="rId1"/>
    <sheet name="管脚分布" sheetId="25" r:id="rId2"/>
    <sheet name="IO_STATUS" sheetId="15" r:id="rId3"/>
    <sheet name="temp_file" sheetId="14" r:id="rId4"/>
    <sheet name="管脚列表QFN88" sheetId="18" r:id="rId5"/>
    <sheet name="更新记录" sheetId="1" r:id="rId6"/>
  </sheets>
  <externalReferences>
    <externalReference r:id="rId7"/>
  </externalReferences>
  <definedNames>
    <definedName name="_xlnm._FilterDatabase" localSheetId="2" hidden="1">IO_STATUS!$A$2:$J$45</definedName>
    <definedName name="_xlnm._FilterDatabase" localSheetId="0" hidden="1">PIN_MUX!$A$1:$S$1</definedName>
    <definedName name="_xlnm._FilterDatabase" localSheetId="4" hidden="1">管脚列表QFN88!$B$3:$D$91</definedName>
  </definedNames>
  <calcPr calcId="152511"/>
</workbook>
</file>

<file path=xl/calcChain.xml><?xml version="1.0" encoding="utf-8"?>
<calcChain xmlns="http://schemas.openxmlformats.org/spreadsheetml/2006/main">
  <c r="B37" i="15" l="1"/>
  <c r="C45" i="15" l="1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66" i="4" l="1"/>
  <c r="C7" i="4" l="1"/>
  <c r="C64" i="4" l="1"/>
  <c r="C65" i="4" l="1"/>
  <c r="C60" i="4"/>
  <c r="C61" i="4"/>
  <c r="C62" i="4"/>
  <c r="C63" i="4"/>
  <c r="C45" i="4"/>
  <c r="C46" i="4"/>
  <c r="C47" i="4"/>
  <c r="C48" i="4"/>
  <c r="C49" i="4"/>
  <c r="C50" i="4"/>
  <c r="C54" i="4"/>
  <c r="C55" i="4"/>
  <c r="C56" i="4"/>
  <c r="C57" i="4"/>
  <c r="C58" i="4"/>
  <c r="C59" i="4"/>
  <c r="C43" i="4"/>
  <c r="C44" i="4"/>
  <c r="C51" i="4"/>
  <c r="C52" i="4"/>
  <c r="C53" i="4"/>
  <c r="C34" i="4"/>
  <c r="C35" i="4"/>
  <c r="C36" i="4"/>
  <c r="C37" i="4"/>
  <c r="C38" i="4"/>
  <c r="C39" i="4"/>
  <c r="C40" i="4"/>
  <c r="C41" i="4"/>
  <c r="C42" i="4"/>
  <c r="C23" i="4"/>
  <c r="C24" i="4"/>
  <c r="C25" i="4"/>
  <c r="C26" i="4"/>
  <c r="C27" i="4"/>
  <c r="C28" i="4"/>
  <c r="C29" i="4"/>
  <c r="C30" i="4"/>
  <c r="C31" i="4"/>
  <c r="C32" i="4"/>
  <c r="C33" i="4"/>
  <c r="C15" i="4"/>
  <c r="C16" i="4"/>
  <c r="C17" i="4"/>
  <c r="C18" i="4"/>
  <c r="C19" i="4"/>
  <c r="C20" i="4"/>
  <c r="C21" i="4"/>
  <c r="C22" i="4"/>
  <c r="C14" i="4"/>
  <c r="C4" i="4"/>
  <c r="C5" i="4"/>
  <c r="C6" i="4"/>
  <c r="C8" i="4"/>
  <c r="C9" i="4"/>
  <c r="C10" i="4"/>
  <c r="C11" i="4"/>
  <c r="C12" i="4"/>
  <c r="C13" i="4"/>
  <c r="C3" i="4"/>
  <c r="C2" i="4"/>
  <c r="B24" i="15" l="1"/>
  <c r="B25" i="15"/>
  <c r="B26" i="15"/>
  <c r="B27" i="15"/>
  <c r="B28" i="15"/>
  <c r="B29" i="15"/>
  <c r="B30" i="15"/>
  <c r="B31" i="15"/>
  <c r="B32" i="15"/>
  <c r="B33" i="15"/>
  <c r="B34" i="15"/>
  <c r="B35" i="15"/>
  <c r="B36" i="15"/>
  <c r="B38" i="15"/>
  <c r="B39" i="15"/>
  <c r="B40" i="15"/>
  <c r="B41" i="15"/>
  <c r="B42" i="15"/>
  <c r="B43" i="15"/>
  <c r="B44" i="15"/>
  <c r="B45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3" i="15"/>
  <c r="A7" i="15"/>
  <c r="A8" i="15"/>
  <c r="A14" i="15" l="1"/>
  <c r="A12" i="15"/>
  <c r="A10" i="15"/>
  <c r="A6" i="15"/>
  <c r="A4" i="15"/>
  <c r="A23" i="15"/>
  <c r="A21" i="15"/>
  <c r="A19" i="15"/>
  <c r="A17" i="15"/>
  <c r="A44" i="15"/>
  <c r="A42" i="15"/>
  <c r="A40" i="15"/>
  <c r="A38" i="15"/>
  <c r="A36" i="15"/>
  <c r="A34" i="15"/>
  <c r="A32" i="15"/>
  <c r="A30" i="15"/>
  <c r="A28" i="15"/>
  <c r="A26" i="15"/>
  <c r="A24" i="15"/>
  <c r="A3" i="15"/>
  <c r="A13" i="15"/>
  <c r="A11" i="15"/>
  <c r="A9" i="15"/>
  <c r="A5" i="15"/>
  <c r="A15" i="15"/>
  <c r="A22" i="15"/>
  <c r="A20" i="15"/>
  <c r="A18" i="15"/>
  <c r="A16" i="15"/>
  <c r="A45" i="15"/>
  <c r="A43" i="15"/>
  <c r="A41" i="15"/>
  <c r="A39" i="15"/>
  <c r="A37" i="15"/>
  <c r="A35" i="15"/>
  <c r="A33" i="15"/>
  <c r="A31" i="15"/>
  <c r="A29" i="15"/>
  <c r="A27" i="15"/>
  <c r="A25" i="15"/>
</calcChain>
</file>

<file path=xl/sharedStrings.xml><?xml version="1.0" encoding="utf-8"?>
<sst xmlns="http://schemas.openxmlformats.org/spreadsheetml/2006/main" count="1822" uniqueCount="968">
  <si>
    <t>ETH_LINK_ACT_LED</t>
  </si>
  <si>
    <t>USB_DM</t>
  </si>
  <si>
    <t>USB_DP</t>
  </si>
  <si>
    <t>PWM9</t>
  </si>
  <si>
    <t>PWM8</t>
  </si>
  <si>
    <t>PWM11</t>
  </si>
  <si>
    <t>PWM10</t>
  </si>
  <si>
    <t>PWM7</t>
  </si>
  <si>
    <t>GPIO4</t>
  </si>
  <si>
    <t>GPIO3</t>
  </si>
  <si>
    <t>GPIO2</t>
  </si>
  <si>
    <t>GPIO1</t>
  </si>
  <si>
    <t>MAC_MDIO</t>
  </si>
  <si>
    <t>MAC_MDC</t>
  </si>
  <si>
    <t>MAC_RXDV</t>
  </si>
  <si>
    <t>MAC_RXD_1</t>
  </si>
  <si>
    <t>MAC_RXD_0</t>
  </si>
  <si>
    <t>MAC_TXEN</t>
  </si>
  <si>
    <t>MAC_TXD_1</t>
  </si>
  <si>
    <t>MAC_TXD_0</t>
  </si>
  <si>
    <t>ETH_LINK_STA_LED</t>
  </si>
  <si>
    <t>PWM4</t>
  </si>
  <si>
    <t>FUNC5</t>
  </si>
  <si>
    <t>FUNC4</t>
  </si>
  <si>
    <t>FUNC3</t>
  </si>
  <si>
    <t>FUNC2</t>
  </si>
  <si>
    <t>FUNC1</t>
  </si>
  <si>
    <t>GPIO26</t>
  </si>
  <si>
    <t>GPIO27</t>
  </si>
  <si>
    <t>GPIO31</t>
  </si>
  <si>
    <t>GPIO32</t>
  </si>
  <si>
    <t>GPIO33</t>
  </si>
  <si>
    <t>GPIO34</t>
  </si>
  <si>
    <t>GPIO35</t>
  </si>
  <si>
    <t>GPIO36</t>
  </si>
  <si>
    <t>GPIO38</t>
  </si>
  <si>
    <t>GPIO39</t>
  </si>
  <si>
    <t>GPIO40</t>
  </si>
  <si>
    <t>GPIO41</t>
  </si>
  <si>
    <t>GPIO42</t>
  </si>
  <si>
    <t>FUNC7</t>
  </si>
  <si>
    <t>PWM3</t>
  </si>
  <si>
    <t>水平电机 PWM3</t>
  </si>
  <si>
    <t>水平电机 PWM4</t>
  </si>
  <si>
    <t>水平电机 PWM5</t>
  </si>
  <si>
    <t>EPHY_RXN</t>
  </si>
  <si>
    <t>EPHY_RXP</t>
  </si>
  <si>
    <t>EPHY_TXN</t>
  </si>
  <si>
    <t>EPHY_TXP</t>
  </si>
  <si>
    <t>垂直电机 PWM7</t>
  </si>
  <si>
    <t>垂直电机 PWM8</t>
  </si>
  <si>
    <t>垂直电机 PWM9</t>
  </si>
  <si>
    <t>DDR_ZQ</t>
    <phoneticPr fontId="13" type="noConversion"/>
  </si>
  <si>
    <t>MIPI_DN1</t>
    <phoneticPr fontId="17" type="noConversion"/>
  </si>
  <si>
    <t>MIPI_DP1</t>
    <phoneticPr fontId="17" type="noConversion"/>
  </si>
  <si>
    <t>MIPI_DN0</t>
    <phoneticPr fontId="17" type="noConversion"/>
  </si>
  <si>
    <t>MIPI_DP0</t>
    <phoneticPr fontId="17" type="noConversion"/>
  </si>
  <si>
    <t>MIPI_CKN</t>
    <phoneticPr fontId="17" type="noConversion"/>
  </si>
  <si>
    <t>MIPI_CKP</t>
    <phoneticPr fontId="17" type="noConversion"/>
  </si>
  <si>
    <t>USB_VBUS</t>
    <phoneticPr fontId="13" type="noConversion"/>
  </si>
  <si>
    <t>电机驱动 reset</t>
    <phoneticPr fontId="13" type="noConversion"/>
  </si>
  <si>
    <t>红外灯 PWM11</t>
    <phoneticPr fontId="13" type="noConversion"/>
  </si>
  <si>
    <t>RTC_CLK</t>
    <phoneticPr fontId="17" type="noConversion"/>
  </si>
  <si>
    <t>GPIO29</t>
    <phoneticPr fontId="13" type="noConversion"/>
  </si>
  <si>
    <t>GPIO29</t>
  </si>
  <si>
    <t>SD卡使能</t>
    <phoneticPr fontId="13" type="noConversion"/>
  </si>
  <si>
    <t>USB_DBG_CLK</t>
    <phoneticPr fontId="17" type="noConversion"/>
  </si>
  <si>
    <t>Audio使能</t>
    <phoneticPr fontId="13" type="noConversion"/>
  </si>
  <si>
    <t>LED_RED</t>
    <phoneticPr fontId="13" type="noConversion"/>
  </si>
  <si>
    <t>SD0_DATA_3</t>
    <phoneticPr fontId="13" type="noConversion"/>
  </si>
  <si>
    <t>I2C2_SDA</t>
    <phoneticPr fontId="17" type="noConversion"/>
  </si>
  <si>
    <t>UART2_RX</t>
    <phoneticPr fontId="17" type="noConversion"/>
  </si>
  <si>
    <t>GPIO23</t>
    <phoneticPr fontId="13" type="noConversion"/>
  </si>
  <si>
    <t>SD0_DATA_2</t>
    <phoneticPr fontId="13" type="noConversion"/>
  </si>
  <si>
    <t>I2C2_SCL</t>
    <phoneticPr fontId="17" type="noConversion"/>
  </si>
  <si>
    <t>UART2_TX</t>
    <phoneticPr fontId="17" type="noConversion"/>
  </si>
  <si>
    <t>GPIO22</t>
    <phoneticPr fontId="13" type="noConversion"/>
  </si>
  <si>
    <t>SD0_DATA_1</t>
    <phoneticPr fontId="13" type="noConversion"/>
  </si>
  <si>
    <t>PAE_JTAG_TMS</t>
    <phoneticPr fontId="13" type="noConversion"/>
  </si>
  <si>
    <t>ARC_JTAG_TMS</t>
    <phoneticPr fontId="13" type="noConversion"/>
  </si>
  <si>
    <t>SSI1_CSN_0（自定义复用）</t>
    <phoneticPr fontId="16" type="noConversion"/>
  </si>
  <si>
    <t>GPIO21</t>
    <phoneticPr fontId="13" type="noConversion"/>
  </si>
  <si>
    <t>SD0_DATA_0</t>
    <phoneticPr fontId="13" type="noConversion"/>
  </si>
  <si>
    <t>PAE_JTAG_TCK</t>
    <phoneticPr fontId="13" type="noConversion"/>
  </si>
  <si>
    <t>ARC_JTAG_TCK</t>
    <phoneticPr fontId="13" type="noConversion"/>
  </si>
  <si>
    <t>SSI1_RXD（标准复用）</t>
    <phoneticPr fontId="16" type="noConversion"/>
  </si>
  <si>
    <t>GPIO20</t>
    <phoneticPr fontId="13" type="noConversion"/>
  </si>
  <si>
    <t>SD0_CMD_RSP</t>
    <phoneticPr fontId="13" type="noConversion"/>
  </si>
  <si>
    <t>PAE_JTAG_TDI</t>
    <phoneticPr fontId="13" type="noConversion"/>
  </si>
  <si>
    <t>ARC_JTAG_TDI</t>
    <phoneticPr fontId="13" type="noConversion"/>
  </si>
  <si>
    <t>SSI1_TXD（标准复用）</t>
    <phoneticPr fontId="16" type="noConversion"/>
  </si>
  <si>
    <t>GPIO19</t>
    <phoneticPr fontId="13" type="noConversion"/>
  </si>
  <si>
    <t>SD0_CLK</t>
    <phoneticPr fontId="13" type="noConversion"/>
  </si>
  <si>
    <t>PAE_JTAG_TDO</t>
    <phoneticPr fontId="13" type="noConversion"/>
  </si>
  <si>
    <t>ARC_JTAG_TDO</t>
    <phoneticPr fontId="13" type="noConversion"/>
  </si>
  <si>
    <t>SSI1_CLK（标准复用）</t>
    <phoneticPr fontId="16" type="noConversion"/>
  </si>
  <si>
    <t>GPIO18</t>
    <phoneticPr fontId="13" type="noConversion"/>
  </si>
  <si>
    <t>SD0_CD</t>
    <phoneticPr fontId="13" type="noConversion"/>
  </si>
  <si>
    <t>PAE_JTAG_TRSTN</t>
    <phoneticPr fontId="13" type="noConversion"/>
  </si>
  <si>
    <t>ARC_JTAG_TRSTN</t>
    <phoneticPr fontId="13" type="noConversion"/>
  </si>
  <si>
    <t>GPIO17</t>
    <phoneticPr fontId="13" type="noConversion"/>
  </si>
  <si>
    <t>SSI2_RXD</t>
    <phoneticPr fontId="16" type="noConversion"/>
  </si>
  <si>
    <t>SSI1_RXD</t>
    <phoneticPr fontId="16" type="noConversion"/>
  </si>
  <si>
    <t>SSI2_TXD</t>
    <phoneticPr fontId="16" type="noConversion"/>
  </si>
  <si>
    <t>SSI1_TXD</t>
    <phoneticPr fontId="16" type="noConversion"/>
  </si>
  <si>
    <t>SSI2_CSN_0</t>
    <phoneticPr fontId="16" type="noConversion"/>
  </si>
  <si>
    <t>SSI1_CSN_0</t>
    <phoneticPr fontId="16" type="noConversion"/>
  </si>
  <si>
    <t>SSI2_CLK</t>
    <phoneticPr fontId="16" type="noConversion"/>
  </si>
  <si>
    <t>SSI1_CLK</t>
    <phoneticPr fontId="16" type="noConversion"/>
  </si>
  <si>
    <t>LED_BLUE</t>
    <phoneticPr fontId="13" type="noConversion"/>
  </si>
  <si>
    <t>I2C1_SDA</t>
    <phoneticPr fontId="17" type="noConversion"/>
  </si>
  <si>
    <t>SD1_DATA_3（emmc）</t>
    <phoneticPr fontId="13" type="noConversion"/>
  </si>
  <si>
    <t>UART1_RX</t>
    <phoneticPr fontId="17" type="noConversion"/>
  </si>
  <si>
    <t>GPIO10</t>
    <phoneticPr fontId="13" type="noConversion"/>
  </si>
  <si>
    <t>SSI0_D3</t>
    <phoneticPr fontId="16" type="noConversion"/>
  </si>
  <si>
    <t>I2C1_SCL</t>
    <phoneticPr fontId="17" type="noConversion"/>
  </si>
  <si>
    <t>SD1_DATA_2（emmc）</t>
    <phoneticPr fontId="13" type="noConversion"/>
  </si>
  <si>
    <t>UART1_TX</t>
    <phoneticPr fontId="17" type="noConversion"/>
  </si>
  <si>
    <t>GPIO9</t>
    <phoneticPr fontId="13" type="noConversion"/>
  </si>
  <si>
    <t>SSI0_D2</t>
    <phoneticPr fontId="16" type="noConversion"/>
  </si>
  <si>
    <t>SSI0_RXD(SSI0_D1)</t>
    <phoneticPr fontId="16" type="noConversion"/>
  </si>
  <si>
    <t>SD1_DATA_1（emmc）</t>
    <phoneticPr fontId="13" type="noConversion"/>
  </si>
  <si>
    <t>GPIO8</t>
    <phoneticPr fontId="13" type="noConversion"/>
  </si>
  <si>
    <t>SSI0_TXD(SSI0_D0)</t>
    <phoneticPr fontId="16" type="noConversion"/>
  </si>
  <si>
    <t>SD1_DATA_0（emmc）</t>
    <phoneticPr fontId="13" type="noConversion"/>
  </si>
  <si>
    <t>GPIO7</t>
    <phoneticPr fontId="13" type="noConversion"/>
  </si>
  <si>
    <t>SSI0_CSN_0</t>
    <phoneticPr fontId="16" type="noConversion"/>
  </si>
  <si>
    <t>SD1_CMD_RSP（emmc）</t>
    <phoneticPr fontId="13" type="noConversion"/>
  </si>
  <si>
    <t>GPIO6</t>
    <phoneticPr fontId="13" type="noConversion"/>
  </si>
  <si>
    <t>SSI0_CLK</t>
    <phoneticPr fontId="16" type="noConversion"/>
  </si>
  <si>
    <t>GPIO5</t>
    <phoneticPr fontId="13" type="noConversion"/>
  </si>
  <si>
    <t>ICR_OFF</t>
    <phoneticPr fontId="13" type="noConversion"/>
  </si>
  <si>
    <t>AC_MCLK</t>
    <phoneticPr fontId="17" type="noConversion"/>
  </si>
  <si>
    <t>USB_PWREN</t>
    <phoneticPr fontId="17" type="noConversion"/>
  </si>
  <si>
    <t>GPIO4</t>
    <phoneticPr fontId="13" type="noConversion"/>
  </si>
  <si>
    <t>ARM_JTAG_TMS</t>
    <phoneticPr fontId="13" type="noConversion"/>
  </si>
  <si>
    <t>ACW_I2S_WS(Slave)</t>
    <phoneticPr fontId="17" type="noConversion"/>
  </si>
  <si>
    <t>DW_I2S_WS(master)</t>
    <phoneticPr fontId="17" type="noConversion"/>
  </si>
  <si>
    <t>GPIO3</t>
    <phoneticPr fontId="13" type="noConversion"/>
  </si>
  <si>
    <t>ARM_JTAG_TCK</t>
    <phoneticPr fontId="13" type="noConversion"/>
  </si>
  <si>
    <t>ACW_I2S_CLK(Slave)</t>
    <phoneticPr fontId="17" type="noConversion"/>
  </si>
  <si>
    <t>DW_I2S_CLK(master)</t>
    <phoneticPr fontId="17" type="noConversion"/>
  </si>
  <si>
    <t>GPIO2</t>
    <phoneticPr fontId="13" type="noConversion"/>
  </si>
  <si>
    <t>ARM_JTAG_TDI</t>
    <phoneticPr fontId="13" type="noConversion"/>
  </si>
  <si>
    <t>ACW_I2S_DI(Slave)</t>
    <phoneticPr fontId="17" type="noConversion"/>
  </si>
  <si>
    <t>DW_I2S_DI(master)</t>
    <phoneticPr fontId="17" type="noConversion"/>
  </si>
  <si>
    <t>GPIO1</t>
    <phoneticPr fontId="13" type="noConversion"/>
  </si>
  <si>
    <t>ARM_JTAG_TDO</t>
    <phoneticPr fontId="13" type="noConversion"/>
  </si>
  <si>
    <t>垂直电机 PWM6</t>
    <phoneticPr fontId="13" type="noConversion"/>
  </si>
  <si>
    <t>ACW_I2S_DO(Slave)</t>
    <phoneticPr fontId="17" type="noConversion"/>
  </si>
  <si>
    <t>PWM6</t>
    <phoneticPr fontId="13" type="noConversion"/>
  </si>
  <si>
    <t>DW_I2S_DO(master)</t>
    <phoneticPr fontId="17" type="noConversion"/>
  </si>
  <si>
    <t>GPIO0</t>
    <phoneticPr fontId="13" type="noConversion"/>
  </si>
  <si>
    <t>ARM_JTAG_TRSTN</t>
    <phoneticPr fontId="13" type="noConversion"/>
  </si>
  <si>
    <t>SD1_DATA_3</t>
    <phoneticPr fontId="13" type="noConversion"/>
  </si>
  <si>
    <t>SD1_DATA_2</t>
    <phoneticPr fontId="13" type="noConversion"/>
  </si>
  <si>
    <t>SD1_DATA_1</t>
    <phoneticPr fontId="13" type="noConversion"/>
  </si>
  <si>
    <t>SD1_DATA_0</t>
    <phoneticPr fontId="13" type="noConversion"/>
  </si>
  <si>
    <t>SD1_CMD_RSP</t>
    <phoneticPr fontId="13" type="noConversion"/>
  </si>
  <si>
    <t>SD1_CD</t>
    <phoneticPr fontId="13" type="noConversion"/>
  </si>
  <si>
    <t>SD1_CLK</t>
    <phoneticPr fontId="13" type="noConversion"/>
  </si>
  <si>
    <t>PWM2</t>
    <phoneticPr fontId="13" type="noConversion"/>
  </si>
  <si>
    <t>出厂复位</t>
    <phoneticPr fontId="13" type="noConversion"/>
  </si>
  <si>
    <t>GPIO44</t>
    <phoneticPr fontId="13" type="noConversion"/>
  </si>
  <si>
    <t>PWM1</t>
    <phoneticPr fontId="13" type="noConversion"/>
  </si>
  <si>
    <t>ICR_ON</t>
    <phoneticPr fontId="13" type="noConversion"/>
  </si>
  <si>
    <t>VD_FZ</t>
    <phoneticPr fontId="13" type="noConversion"/>
  </si>
  <si>
    <t>GPIO43</t>
    <phoneticPr fontId="13" type="noConversion"/>
  </si>
  <si>
    <t>PWM0</t>
    <phoneticPr fontId="13" type="noConversion"/>
  </si>
  <si>
    <t>水平电机 SSI1_RXD</t>
    <phoneticPr fontId="16" type="noConversion"/>
  </si>
  <si>
    <t>电机 SSI1_RXD</t>
    <phoneticPr fontId="16" type="noConversion"/>
  </si>
  <si>
    <t>水平电机 SSI1_TXD</t>
    <phoneticPr fontId="16" type="noConversion"/>
  </si>
  <si>
    <t>电机 SSI1_TXD</t>
    <phoneticPr fontId="16" type="noConversion"/>
  </si>
  <si>
    <t>水平电机 SSI1_CSN_0</t>
    <phoneticPr fontId="16" type="noConversion"/>
  </si>
  <si>
    <t>电机 SSI1_CSN_0</t>
    <phoneticPr fontId="16" type="noConversion"/>
  </si>
  <si>
    <t>水平电机 PWM2</t>
    <phoneticPr fontId="13" type="noConversion"/>
  </si>
  <si>
    <t>水平电机 SSI1_CLK</t>
    <phoneticPr fontId="16" type="noConversion"/>
  </si>
  <si>
    <t>电机 SSI1_CLK</t>
    <phoneticPr fontId="16" type="noConversion"/>
  </si>
  <si>
    <t>GPIO37</t>
    <phoneticPr fontId="13" type="noConversion"/>
  </si>
  <si>
    <t>SENSOR_RSTN</t>
    <phoneticPr fontId="13" type="noConversion"/>
  </si>
  <si>
    <t>GPIO13</t>
    <phoneticPr fontId="13" type="noConversion"/>
  </si>
  <si>
    <t>SENSOR_CLK</t>
    <phoneticPr fontId="13" type="noConversion"/>
  </si>
  <si>
    <t>I2C0_SDA</t>
    <phoneticPr fontId="17" type="noConversion"/>
  </si>
  <si>
    <t>I2C0_SCL</t>
    <phoneticPr fontId="17" type="noConversion"/>
  </si>
  <si>
    <t>UART0_RX</t>
    <phoneticPr fontId="17" type="noConversion"/>
  </si>
  <si>
    <t>UART0_TX</t>
    <phoneticPr fontId="17" type="noConversion"/>
  </si>
  <si>
    <t>BOOT_SEL0</t>
    <phoneticPr fontId="13" type="noConversion"/>
  </si>
  <si>
    <t>BOOT_SEL1</t>
    <phoneticPr fontId="13" type="noConversion"/>
  </si>
  <si>
    <t>BOOT_MODE</t>
    <phoneticPr fontId="13" type="noConversion"/>
  </si>
  <si>
    <t>GPIO30</t>
    <phoneticPr fontId="13" type="noConversion"/>
  </si>
  <si>
    <t>CLK_OUT</t>
    <phoneticPr fontId="13" type="noConversion"/>
  </si>
  <si>
    <t>CLK_IN</t>
    <phoneticPr fontId="13" type="noConversion"/>
  </si>
  <si>
    <t>RESETN</t>
    <phoneticPr fontId="13" type="noConversion"/>
  </si>
  <si>
    <t>FUNC0</t>
    <phoneticPr fontId="17" type="noConversion"/>
  </si>
  <si>
    <t>PAD NAME</t>
    <phoneticPr fontId="17" type="noConversion"/>
  </si>
  <si>
    <t>GPIO0</t>
  </si>
  <si>
    <t>日期</t>
    <phoneticPr fontId="13" type="noConversion"/>
  </si>
  <si>
    <t>版本</t>
    <phoneticPr fontId="13" type="noConversion"/>
  </si>
  <si>
    <t>更新记录：</t>
    <phoneticPr fontId="13" type="noConversion"/>
  </si>
  <si>
    <t>ETH_LINK_SPD_LED</t>
    <phoneticPr fontId="13" type="noConversion"/>
  </si>
  <si>
    <t>ETH_LINK_SPD_LED</t>
    <phoneticPr fontId="13" type="noConversion"/>
  </si>
  <si>
    <t>PWM2</t>
  </si>
  <si>
    <t>GPIO47</t>
    <phoneticPr fontId="13" type="noConversion"/>
  </si>
  <si>
    <t>VSS</t>
  </si>
  <si>
    <t>DDR_ODT</t>
  </si>
  <si>
    <t>DDR_A14</t>
  </si>
  <si>
    <t>DDR_A1</t>
  </si>
  <si>
    <t>DDR_BA1</t>
  </si>
  <si>
    <t>DDR_CKE</t>
  </si>
  <si>
    <t>DDR_CLK_N</t>
  </si>
  <si>
    <t>DDR_DQ1</t>
  </si>
  <si>
    <t>DDR_DQ4</t>
  </si>
  <si>
    <t>DDR_DQS1_P</t>
  </si>
  <si>
    <t>DDR_DQS0_N</t>
  </si>
  <si>
    <t>DDR_CS_N</t>
  </si>
  <si>
    <t>DDR_A11</t>
  </si>
  <si>
    <t>DDR_A8</t>
  </si>
  <si>
    <t>DDR_A6</t>
  </si>
  <si>
    <t>DDR_A4</t>
  </si>
  <si>
    <t>DDR_A10</t>
  </si>
  <si>
    <t>DDR_CLK_P</t>
  </si>
  <si>
    <t>DDR_DQ5</t>
  </si>
  <si>
    <t>DDR_DQ3</t>
  </si>
  <si>
    <t>DDR_DQ14</t>
  </si>
  <si>
    <t>DDR_DQ12</t>
  </si>
  <si>
    <t>DDR_DQS1_N</t>
  </si>
  <si>
    <t>DDR_DQS0_P</t>
  </si>
  <si>
    <t>DDR_DQ15</t>
  </si>
  <si>
    <t>DDR_DM1</t>
  </si>
  <si>
    <t>DDR_ZQ</t>
  </si>
  <si>
    <t>DDR_A5</t>
  </si>
  <si>
    <t>DDR_A7</t>
  </si>
  <si>
    <t>DDR_A12</t>
  </si>
  <si>
    <t>DDR_A3</t>
  </si>
  <si>
    <t>DDR_A0</t>
  </si>
  <si>
    <t>DDR_WE_N</t>
  </si>
  <si>
    <t>DDR_CAS_N</t>
  </si>
  <si>
    <t>DDR_DQ6</t>
  </si>
  <si>
    <t>DDR_DQ8</t>
  </si>
  <si>
    <t>DDR_DQ0</t>
  </si>
  <si>
    <t>DDR_DQ13</t>
  </si>
  <si>
    <t>DDR_DQ11</t>
  </si>
  <si>
    <t>DDR_RESET_N</t>
  </si>
  <si>
    <t>DDR_A13</t>
  </si>
  <si>
    <t>DDR_A9</t>
  </si>
  <si>
    <t>DDR_BA2</t>
  </si>
  <si>
    <t>DDR_DQ7</t>
  </si>
  <si>
    <t>DDR_DM0</t>
  </si>
  <si>
    <t>DDR_DQ9</t>
  </si>
  <si>
    <t>DDR_DQ2</t>
  </si>
  <si>
    <t>DDR_A2</t>
  </si>
  <si>
    <t>DDR_BA0</t>
  </si>
  <si>
    <t>DDR_RAS_N</t>
  </si>
  <si>
    <t>DDR_DQ10</t>
  </si>
  <si>
    <t>VDDIO_DDR</t>
  </si>
  <si>
    <t>I2C0_SCL</t>
  </si>
  <si>
    <t>I2C0_SDA</t>
  </si>
  <si>
    <t>SENSOR_CLK</t>
  </si>
  <si>
    <t>SENSOR_RSTN</t>
  </si>
  <si>
    <t>SD0_CD</t>
  </si>
  <si>
    <t>PWM1</t>
  </si>
  <si>
    <t>SD0_CLK</t>
  </si>
  <si>
    <t>PWM0</t>
  </si>
  <si>
    <t>SD0_CMD_RSP</t>
  </si>
  <si>
    <t>SSI0_CLK</t>
  </si>
  <si>
    <t>SD0_DATA_0</t>
  </si>
  <si>
    <t>SSI0_CSN_0</t>
  </si>
  <si>
    <t>SD0_DATA_1</t>
  </si>
  <si>
    <t>SD0_DATA_2</t>
  </si>
  <si>
    <t>SD0_DATA_3</t>
  </si>
  <si>
    <t>UART0_TX</t>
  </si>
  <si>
    <t>UART0_RX</t>
  </si>
  <si>
    <t>VDDA33_EPHY</t>
  </si>
  <si>
    <t>VDDA09_EPHY</t>
  </si>
  <si>
    <t>I2C1_SDA</t>
  </si>
  <si>
    <t>I2C1_SCL</t>
  </si>
  <si>
    <t>UART2_RX</t>
  </si>
  <si>
    <t>UART2_TX</t>
  </si>
  <si>
    <t>UART1_RX</t>
  </si>
  <si>
    <t>UART1_TX</t>
  </si>
  <si>
    <t>USB_PWREN</t>
  </si>
  <si>
    <t>USB_VBUS</t>
  </si>
  <si>
    <t>VDDA33_USB</t>
  </si>
  <si>
    <t>USB_REXT</t>
  </si>
  <si>
    <t>A2</t>
  </si>
  <si>
    <t>A3</t>
  </si>
  <si>
    <t>nan</t>
  </si>
  <si>
    <t>A5</t>
  </si>
  <si>
    <t>A6</t>
  </si>
  <si>
    <t>A8</t>
  </si>
  <si>
    <t>A9</t>
  </si>
  <si>
    <t>A11</t>
  </si>
  <si>
    <t>A13</t>
  </si>
  <si>
    <t>A15</t>
  </si>
  <si>
    <t>A16</t>
  </si>
  <si>
    <t>DDR_CAL</t>
  </si>
  <si>
    <t>B1</t>
  </si>
  <si>
    <t>B2</t>
  </si>
  <si>
    <t>B3</t>
  </si>
  <si>
    <t>B4</t>
  </si>
  <si>
    <t>B5</t>
  </si>
  <si>
    <t>B6</t>
  </si>
  <si>
    <t>B8</t>
  </si>
  <si>
    <t>B9</t>
  </si>
  <si>
    <t>B11</t>
  </si>
  <si>
    <t>B12</t>
  </si>
  <si>
    <t>B13</t>
  </si>
  <si>
    <t>B14</t>
  </si>
  <si>
    <t>B15</t>
  </si>
  <si>
    <t>B16</t>
  </si>
  <si>
    <t>B17</t>
  </si>
  <si>
    <t>B18</t>
  </si>
  <si>
    <t>C1</t>
  </si>
  <si>
    <t>C3</t>
  </si>
  <si>
    <t>C5</t>
  </si>
  <si>
    <t>C6</t>
  </si>
  <si>
    <t>C7</t>
  </si>
  <si>
    <t>C8</t>
  </si>
  <si>
    <t>C10</t>
  </si>
  <si>
    <t>C11</t>
  </si>
  <si>
    <t>C13</t>
  </si>
  <si>
    <t>C15</t>
  </si>
  <si>
    <t>C16</t>
  </si>
  <si>
    <t>C17</t>
  </si>
  <si>
    <t>C18</t>
  </si>
  <si>
    <t>RESETN</t>
  </si>
  <si>
    <t>D1</t>
  </si>
  <si>
    <t>D3</t>
  </si>
  <si>
    <t>D4</t>
  </si>
  <si>
    <t>D6</t>
  </si>
  <si>
    <t>D9</t>
  </si>
  <si>
    <t>D12</t>
  </si>
  <si>
    <t>D14</t>
  </si>
  <si>
    <t>D16</t>
  </si>
  <si>
    <t>D18</t>
  </si>
  <si>
    <t>CLK_IN</t>
  </si>
  <si>
    <t>E1</t>
  </si>
  <si>
    <t>E2</t>
  </si>
  <si>
    <t>GNDA_PLL</t>
  </si>
  <si>
    <t>E3</t>
  </si>
  <si>
    <t>VDDA09_PLL</t>
  </si>
  <si>
    <t>E4</t>
  </si>
  <si>
    <t>DDR_VREFDQ</t>
  </si>
  <si>
    <t>E6</t>
  </si>
  <si>
    <t>E7</t>
  </si>
  <si>
    <t>E10</t>
  </si>
  <si>
    <t>E12</t>
  </si>
  <si>
    <t>E14</t>
  </si>
  <si>
    <t>E17</t>
  </si>
  <si>
    <t>E18</t>
  </si>
  <si>
    <t>VDDA18_PLL</t>
  </si>
  <si>
    <t>F4</t>
  </si>
  <si>
    <t>F14</t>
  </si>
  <si>
    <t>F16</t>
  </si>
  <si>
    <t>F17</t>
  </si>
  <si>
    <t>G1</t>
  </si>
  <si>
    <t>G2</t>
  </si>
  <si>
    <t>GNDA_RTC</t>
  </si>
  <si>
    <t>H2</t>
  </si>
  <si>
    <t>VDDIO_18</t>
  </si>
  <si>
    <t>G16</t>
  </si>
  <si>
    <t>G18</t>
  </si>
  <si>
    <t>H3</t>
  </si>
  <si>
    <t>VDDA33_RTC</t>
  </si>
  <si>
    <t>VDDIO_18OD33</t>
  </si>
  <si>
    <t>U10</t>
  </si>
  <si>
    <t>GPIO28</t>
  </si>
  <si>
    <t>H16</t>
  </si>
  <si>
    <t>J1</t>
  </si>
  <si>
    <t>J2</t>
  </si>
  <si>
    <t>J3</t>
  </si>
  <si>
    <t>VDDIO_CLK</t>
  </si>
  <si>
    <t>GNDA_AC</t>
  </si>
  <si>
    <t>J17</t>
  </si>
  <si>
    <t>K2</t>
  </si>
  <si>
    <t>K3</t>
  </si>
  <si>
    <t>VDDA_AC</t>
  </si>
  <si>
    <t>L15</t>
  </si>
  <si>
    <t>K16</t>
  </si>
  <si>
    <t>K17</t>
  </si>
  <si>
    <t>K18</t>
  </si>
  <si>
    <t>L1</t>
  </si>
  <si>
    <t>L3</t>
  </si>
  <si>
    <t>L17</t>
  </si>
  <si>
    <t>L18</t>
  </si>
  <si>
    <t>M2</t>
  </si>
  <si>
    <t>M3</t>
  </si>
  <si>
    <t>M16</t>
  </si>
  <si>
    <t>M17</t>
  </si>
  <si>
    <t>N1</t>
  </si>
  <si>
    <t>N2</t>
  </si>
  <si>
    <t>N3</t>
  </si>
  <si>
    <t>N16</t>
  </si>
  <si>
    <t>N17</t>
  </si>
  <si>
    <t>N18</t>
  </si>
  <si>
    <t>P1</t>
  </si>
  <si>
    <t>GNDA_USB</t>
  </si>
  <si>
    <t>VDDA18_USB</t>
  </si>
  <si>
    <t>P4</t>
  </si>
  <si>
    <t>P15</t>
  </si>
  <si>
    <t>P16</t>
  </si>
  <si>
    <t>R2</t>
  </si>
  <si>
    <t>R4</t>
  </si>
  <si>
    <t>R16</t>
  </si>
  <si>
    <t>R17</t>
  </si>
  <si>
    <t>T1</t>
  </si>
  <si>
    <t>T4</t>
  </si>
  <si>
    <t>VDDA_MIPI</t>
  </si>
  <si>
    <t>U15</t>
  </si>
  <si>
    <t>T17</t>
  </si>
  <si>
    <t>VDDA12_VREF</t>
  </si>
  <si>
    <t>U2</t>
  </si>
  <si>
    <t>VDDA18_EPHY</t>
  </si>
  <si>
    <t>U5</t>
  </si>
  <si>
    <t>SD1_CD</t>
  </si>
  <si>
    <t>U8</t>
  </si>
  <si>
    <t>U11</t>
  </si>
  <si>
    <t>U12</t>
  </si>
  <si>
    <t>U13</t>
  </si>
  <si>
    <t>GNDA_MIPI</t>
  </si>
  <si>
    <t>Y18</t>
  </si>
  <si>
    <t>U17</t>
  </si>
  <si>
    <t>U18</t>
  </si>
  <si>
    <t>EPHY_ATBUSA</t>
  </si>
  <si>
    <t>V1</t>
  </si>
  <si>
    <t>GNDA_EPHY</t>
  </si>
  <si>
    <t>V2</t>
  </si>
  <si>
    <t>BOOT_SEL1</t>
  </si>
  <si>
    <t>V3</t>
  </si>
  <si>
    <t>BOOT_SEL0</t>
  </si>
  <si>
    <t>V4</t>
  </si>
  <si>
    <t>BOOT_MODE</t>
  </si>
  <si>
    <t>V5</t>
  </si>
  <si>
    <t>SSI1_CSN_0</t>
  </si>
  <si>
    <t>V6</t>
  </si>
  <si>
    <t>SD1_DATA_3</t>
  </si>
  <si>
    <t>V7</t>
  </si>
  <si>
    <t>SD1_DATA_2</t>
  </si>
  <si>
    <t>V8</t>
  </si>
  <si>
    <t>V9</t>
  </si>
  <si>
    <t>V11</t>
  </si>
  <si>
    <t>V12</t>
  </si>
  <si>
    <t>V13</t>
  </si>
  <si>
    <t>V14</t>
  </si>
  <si>
    <t>V17</t>
  </si>
  <si>
    <t>V18</t>
  </si>
  <si>
    <t>EPHY_ATBUSB</t>
  </si>
  <si>
    <t>W1</t>
  </si>
  <si>
    <t>W2</t>
  </si>
  <si>
    <t>W3</t>
  </si>
  <si>
    <t>SSI1_TXD</t>
  </si>
  <si>
    <t>SSI1_CLK</t>
  </si>
  <si>
    <t>W6</t>
  </si>
  <si>
    <t>SD1_DATA_0</t>
  </si>
  <si>
    <t>W8</t>
  </si>
  <si>
    <t>SD1_CMD_RSP</t>
  </si>
  <si>
    <t>W9</t>
  </si>
  <si>
    <t>W10</t>
  </si>
  <si>
    <t>W11</t>
  </si>
  <si>
    <t>W12</t>
  </si>
  <si>
    <t>W14</t>
  </si>
  <si>
    <t>W16</t>
  </si>
  <si>
    <t>W17</t>
  </si>
  <si>
    <t>Y2</t>
  </si>
  <si>
    <t>Y3</t>
  </si>
  <si>
    <t>SSI1_RXD</t>
  </si>
  <si>
    <t>Y5</t>
  </si>
  <si>
    <t>SD1_CLK</t>
  </si>
  <si>
    <t>SD1_DATA_1</t>
  </si>
  <si>
    <t>Y8</t>
  </si>
  <si>
    <t>Y10</t>
  </si>
  <si>
    <t>Y12</t>
  </si>
  <si>
    <t>Y14</t>
  </si>
  <si>
    <t>Y16</t>
  </si>
  <si>
    <t>Y17</t>
  </si>
  <si>
    <t>Y13</t>
  </si>
  <si>
    <t>SSI0_D2</t>
  </si>
  <si>
    <t>SSI0_D3</t>
  </si>
  <si>
    <t>VDDK</t>
  </si>
  <si>
    <t>VDDA_RTC</t>
  </si>
  <si>
    <t>SSI0_RXD</t>
  </si>
  <si>
    <t>SSI0_TXD</t>
  </si>
  <si>
    <t>电平状态</t>
    <phoneticPr fontId="13" type="noConversion"/>
  </si>
  <si>
    <t>NA</t>
    <phoneticPr fontId="13" type="noConversion"/>
  </si>
  <si>
    <t>RESETN</t>
    <phoneticPr fontId="17" type="noConversion"/>
  </si>
  <si>
    <t>CLK</t>
    <phoneticPr fontId="16" type="noConversion"/>
  </si>
  <si>
    <t>CLK_IN</t>
    <phoneticPr fontId="16" type="noConversion"/>
  </si>
  <si>
    <t>I2C0_SDA</t>
    <phoneticPr fontId="16" type="noConversion"/>
  </si>
  <si>
    <t>I2C0_SCL</t>
    <phoneticPr fontId="16" type="noConversion"/>
  </si>
  <si>
    <t>GPIO_12</t>
    <phoneticPr fontId="17" type="noConversion"/>
  </si>
  <si>
    <t>GPIO_13</t>
  </si>
  <si>
    <t>GPIO_14</t>
  </si>
  <si>
    <t>MAC_REF_CLK</t>
    <phoneticPr fontId="17" type="noConversion"/>
  </si>
  <si>
    <t>MAC_RMII_CLK</t>
    <phoneticPr fontId="17" type="noConversion"/>
  </si>
  <si>
    <t>MAC_RXD_1</t>
    <phoneticPr fontId="17" type="noConversion"/>
  </si>
  <si>
    <t>MAC_RXDV</t>
    <phoneticPr fontId="17" type="noConversion"/>
  </si>
  <si>
    <t>MAC_TXD_0</t>
    <phoneticPr fontId="17" type="noConversion"/>
  </si>
  <si>
    <t>MAC_TXD_1</t>
    <phoneticPr fontId="17" type="noConversion"/>
  </si>
  <si>
    <t>GPIO_9</t>
  </si>
  <si>
    <t>GPIO_10</t>
  </si>
  <si>
    <t>GPIO_11</t>
  </si>
  <si>
    <t>SSI0_CLK</t>
    <phoneticPr fontId="17" type="noConversion"/>
  </si>
  <si>
    <t>SSI0_CSN_0</t>
    <phoneticPr fontId="17" type="noConversion"/>
  </si>
  <si>
    <t>SSI0_CSN_1</t>
    <phoneticPr fontId="17" type="noConversion"/>
  </si>
  <si>
    <t>SSI0_TXD</t>
    <phoneticPr fontId="17" type="noConversion"/>
  </si>
  <si>
    <t>SSI0_RXD</t>
    <phoneticPr fontId="17" type="noConversion"/>
  </si>
  <si>
    <t>SSI0_D_2</t>
    <phoneticPr fontId="17" type="noConversion"/>
  </si>
  <si>
    <t>SSI0_D_3</t>
    <phoneticPr fontId="17" type="noConversion"/>
  </si>
  <si>
    <t>UART_RX</t>
    <phoneticPr fontId="16" type="noConversion"/>
  </si>
  <si>
    <t>GPIO_22</t>
  </si>
  <si>
    <t>GPIO_23</t>
  </si>
  <si>
    <t>GPIO_24</t>
  </si>
  <si>
    <t>GPIO_25</t>
  </si>
  <si>
    <t>GPIO_26</t>
  </si>
  <si>
    <t>GPIO_27</t>
  </si>
  <si>
    <t>GPIO_28</t>
  </si>
  <si>
    <t>PRUW08SDGZ_H_G</t>
    <phoneticPr fontId="17" type="noConversion"/>
  </si>
  <si>
    <t>PDXOEDG_H_G</t>
    <phoneticPr fontId="16" type="noConversion"/>
  </si>
  <si>
    <t>PRWHSWCDGSD_H</t>
  </si>
  <si>
    <t>ZY PAD 
NAME</t>
    <phoneticPr fontId="13" type="noConversion"/>
  </si>
  <si>
    <t>ZY PAD
 TYPE</t>
    <phoneticPr fontId="13" type="noConversion"/>
  </si>
  <si>
    <t>XAIN0_SADC</t>
    <phoneticPr fontId="16" type="noConversion"/>
  </si>
  <si>
    <t>XAIN1_SADC</t>
    <phoneticPr fontId="16" type="noConversion"/>
  </si>
  <si>
    <t>PDB3A_V_G</t>
    <phoneticPr fontId="13" type="noConversion"/>
  </si>
  <si>
    <t>PAD Name</t>
    <phoneticPr fontId="17" type="noConversion"/>
  </si>
  <si>
    <t>IO电源和CORE都已上电，复位撤销之后，ROM开始执行到结束期间。</t>
    <phoneticPr fontId="13" type="noConversion"/>
  </si>
  <si>
    <t>I/O类型</t>
    <phoneticPr fontId="13" type="noConversion"/>
  </si>
  <si>
    <t>HiZ</t>
    <phoneticPr fontId="13" type="noConversion"/>
  </si>
  <si>
    <t>I</t>
    <phoneticPr fontId="13" type="noConversion"/>
  </si>
  <si>
    <t>Default Function</t>
    <phoneticPr fontId="17" type="noConversion"/>
  </si>
  <si>
    <t>PWM5</t>
    <phoneticPr fontId="13" type="noConversion"/>
  </si>
  <si>
    <t>0/1</t>
  </si>
  <si>
    <t>CLK</t>
  </si>
  <si>
    <t>XIN_RTC</t>
  </si>
  <si>
    <t>XOUT_RTC</t>
  </si>
  <si>
    <t>MICINP_AC</t>
  </si>
  <si>
    <t>VDDK_DDR</t>
  </si>
  <si>
    <t>LINE1_AC</t>
  </si>
  <si>
    <t>LOUT_AC</t>
  </si>
  <si>
    <t>MICBIAS_AC</t>
  </si>
  <si>
    <t>VMID_AC</t>
  </si>
  <si>
    <t>AC_MICIN_11</t>
  </si>
  <si>
    <t>AC_MICIP_11</t>
  </si>
  <si>
    <t>XAIN0_SADC</t>
  </si>
  <si>
    <t>AC_MICBIAS_00</t>
  </si>
  <si>
    <t>AC_MICBIAS_11</t>
  </si>
  <si>
    <t>XAIN2_SADC</t>
  </si>
  <si>
    <t>XAIN1_SADC</t>
  </si>
  <si>
    <t>AC_MICIN_00</t>
  </si>
  <si>
    <t>AC_MICIP_00</t>
  </si>
  <si>
    <t>XAIN3_SADC</t>
  </si>
  <si>
    <t>REXT_MIPI</t>
  </si>
  <si>
    <t>DP3_MIPI</t>
  </si>
  <si>
    <t>DN3_MIPI</t>
  </si>
  <si>
    <t>DP2_MIPI</t>
  </si>
  <si>
    <t>DN2_MIPI</t>
  </si>
  <si>
    <t>EPHY_RTX</t>
  </si>
  <si>
    <t>DN0_MIPI</t>
  </si>
  <si>
    <t>DN1_MIPI</t>
  </si>
  <si>
    <t>CKN_MIPI</t>
  </si>
  <si>
    <t>MAC_CLK</t>
  </si>
  <si>
    <t>DP0_MIPI</t>
  </si>
  <si>
    <t>DP1_MIPI</t>
  </si>
  <si>
    <t>CKP_MIPI</t>
  </si>
  <si>
    <t>VDDA18</t>
  </si>
  <si>
    <t>W13</t>
  </si>
  <si>
    <t>F18</t>
  </si>
  <si>
    <t>G4</t>
  </si>
  <si>
    <t>G17</t>
  </si>
  <si>
    <t>U6</t>
  </si>
  <si>
    <t>J8</t>
  </si>
  <si>
    <t>J15</t>
  </si>
  <si>
    <t>J18</t>
  </si>
  <si>
    <t>K11</t>
  </si>
  <si>
    <t>K15</t>
  </si>
  <si>
    <t>M11</t>
  </si>
  <si>
    <t>M15</t>
  </si>
  <si>
    <t>M18</t>
  </si>
  <si>
    <t>N15</t>
  </si>
  <si>
    <t>P2</t>
  </si>
  <si>
    <t>P3</t>
  </si>
  <si>
    <t>R1</t>
  </si>
  <si>
    <t>R18</t>
  </si>
  <si>
    <t>V16</t>
  </si>
  <si>
    <t>U9</t>
  </si>
  <si>
    <t>W4</t>
  </si>
  <si>
    <t>W15</t>
  </si>
  <si>
    <t>Y4</t>
  </si>
  <si>
    <t>Y6</t>
  </si>
  <si>
    <t>Y9</t>
  </si>
  <si>
    <t>Y11</t>
  </si>
  <si>
    <t>Y15</t>
  </si>
  <si>
    <t>XIN_RTC</t>
    <phoneticPr fontId="13" type="noConversion"/>
  </si>
  <si>
    <t>XOUT_RTC</t>
    <phoneticPr fontId="13" type="noConversion"/>
  </si>
  <si>
    <t>VDDA_USB</t>
  </si>
  <si>
    <t>EPHY_RTX</t>
    <phoneticPr fontId="13" type="noConversion"/>
  </si>
  <si>
    <t xml:space="preserve"> 摇头机
无MCU SPI电机</t>
    <phoneticPr fontId="13" type="noConversion"/>
  </si>
  <si>
    <t xml:space="preserve"> 摇头机
无MCU SPI+PWM电机</t>
    <phoneticPr fontId="13" type="noConversion"/>
  </si>
  <si>
    <t xml:space="preserve"> 摇头机
无MCU PWM电机</t>
    <phoneticPr fontId="13" type="noConversion"/>
  </si>
  <si>
    <t>VDDK</t>
    <phoneticPr fontId="13" type="noConversion"/>
  </si>
  <si>
    <t>DDR_ZQ</t>
    <phoneticPr fontId="13" type="noConversion"/>
  </si>
  <si>
    <t>VDDIO_18</t>
    <phoneticPr fontId="13" type="noConversion"/>
  </si>
  <si>
    <t>XAIN1_SADC_</t>
    <phoneticPr fontId="13" type="noConversion"/>
  </si>
  <si>
    <t>XAIN0_SADC</t>
    <phoneticPr fontId="13" type="noConversion"/>
  </si>
  <si>
    <t>Remark</t>
    <phoneticPr fontId="13" type="noConversion"/>
  </si>
  <si>
    <t>Pin_Name</t>
    <phoneticPr fontId="13" type="noConversion"/>
  </si>
  <si>
    <t>Pin#</t>
    <phoneticPr fontId="13" type="noConversion"/>
  </si>
  <si>
    <t>QFN88</t>
    <phoneticPr fontId="13" type="noConversion"/>
  </si>
  <si>
    <t>HL_MAIN 主板</t>
    <phoneticPr fontId="13" type="noConversion"/>
  </si>
  <si>
    <t>RESETN</t>
    <phoneticPr fontId="13" type="noConversion"/>
  </si>
  <si>
    <t>CLK_IN</t>
    <phoneticPr fontId="13" type="noConversion"/>
  </si>
  <si>
    <t>CLK_OUT</t>
    <phoneticPr fontId="13" type="noConversion"/>
  </si>
  <si>
    <t>BOOT_MODE</t>
    <phoneticPr fontId="13" type="noConversion"/>
  </si>
  <si>
    <t>BOOT_SEL1</t>
    <phoneticPr fontId="13" type="noConversion"/>
  </si>
  <si>
    <t>BOOT_SEL0</t>
    <phoneticPr fontId="13" type="noConversion"/>
  </si>
  <si>
    <t>UART0_TX</t>
    <phoneticPr fontId="17" type="noConversion"/>
  </si>
  <si>
    <t>UART0_RX</t>
    <phoneticPr fontId="17" type="noConversion"/>
  </si>
  <si>
    <t>I2C0_SCL</t>
    <phoneticPr fontId="17" type="noConversion"/>
  </si>
  <si>
    <t>I2C0_SDA</t>
    <phoneticPr fontId="17" type="noConversion"/>
  </si>
  <si>
    <t>SENSOR_CLK</t>
    <phoneticPr fontId="13" type="noConversion"/>
  </si>
  <si>
    <t>SENSOR_RSTN</t>
    <phoneticPr fontId="13" type="noConversion"/>
  </si>
  <si>
    <t>UART1_TX</t>
    <phoneticPr fontId="17" type="noConversion"/>
  </si>
  <si>
    <t>AF1_NSLEEP</t>
  </si>
  <si>
    <t>UART1_RX</t>
    <phoneticPr fontId="17" type="noConversion"/>
  </si>
  <si>
    <t>AF2_NSLEEP</t>
    <phoneticPr fontId="13" type="noConversion"/>
  </si>
  <si>
    <t>PWM2</t>
    <phoneticPr fontId="13" type="noConversion"/>
  </si>
  <si>
    <t>水平电机 PWM2</t>
    <phoneticPr fontId="13" type="noConversion"/>
  </si>
  <si>
    <t>电机 PWM2</t>
    <phoneticPr fontId="13" type="noConversion"/>
  </si>
  <si>
    <t>PWM3</t>
    <phoneticPr fontId="13" type="noConversion"/>
  </si>
  <si>
    <t>电机 PWM3</t>
    <phoneticPr fontId="13" type="noConversion"/>
  </si>
  <si>
    <t>电机 PWM4/UART2_TX</t>
    <phoneticPr fontId="13" type="noConversion"/>
  </si>
  <si>
    <t>PWM5</t>
    <phoneticPr fontId="13" type="noConversion"/>
  </si>
  <si>
    <t>电机 PWM5/UART2_RX</t>
    <phoneticPr fontId="13" type="noConversion"/>
  </si>
  <si>
    <t>USB_PWREN</t>
    <phoneticPr fontId="17" type="noConversion"/>
  </si>
  <si>
    <t>USB_PWREN(WIFI&amp;4G RESET)</t>
    <phoneticPr fontId="17" type="noConversion"/>
  </si>
  <si>
    <t>ICR_ON/WIFI_INT/AK7755复位</t>
    <phoneticPr fontId="13" type="noConversion"/>
  </si>
  <si>
    <t>ICR_ON</t>
    <phoneticPr fontId="13" type="noConversion"/>
  </si>
  <si>
    <t>W_LIGHT（白光PWM）</t>
    <phoneticPr fontId="13" type="noConversion"/>
  </si>
  <si>
    <t>出厂复位/WL_REG_ON</t>
    <phoneticPr fontId="13" type="noConversion"/>
  </si>
  <si>
    <t>出厂复位</t>
    <phoneticPr fontId="13" type="noConversion"/>
  </si>
  <si>
    <t>IR_LIGHT  (红外PWM)</t>
    <phoneticPr fontId="13" type="noConversion"/>
  </si>
  <si>
    <t>PWM6</t>
    <phoneticPr fontId="13" type="noConversion"/>
  </si>
  <si>
    <t>垂直电机 PWM6/ARM_JTAG_TRSTN</t>
    <phoneticPr fontId="13" type="noConversion"/>
  </si>
  <si>
    <t>MOTO_C(电机切换)</t>
    <phoneticPr fontId="13" type="noConversion"/>
  </si>
  <si>
    <t>PWM7</t>
    <phoneticPr fontId="13" type="noConversion"/>
  </si>
  <si>
    <t>垂直电机 PWM7/ARM_JTAG_TDO</t>
    <phoneticPr fontId="13" type="noConversion"/>
  </si>
  <si>
    <t>PWM8</t>
    <phoneticPr fontId="13" type="noConversion"/>
  </si>
  <si>
    <t>垂直电机 PWM8/ARM_JTAG_TDI</t>
    <phoneticPr fontId="13" type="noConversion"/>
  </si>
  <si>
    <t>PWM9</t>
    <phoneticPr fontId="13" type="noConversion"/>
  </si>
  <si>
    <t>垂直电机 PWM9ARM_JTAG_TCK</t>
    <phoneticPr fontId="13" type="noConversion"/>
  </si>
  <si>
    <t>AC_MCLK/ICR_OFF</t>
    <phoneticPr fontId="13" type="noConversion"/>
  </si>
  <si>
    <t>ICR_OFF / ARM_JTAG_TMS</t>
    <phoneticPr fontId="13" type="noConversion"/>
  </si>
  <si>
    <t>SSI0_CLK</t>
    <phoneticPr fontId="16" type="noConversion"/>
  </si>
  <si>
    <t>SSI0_CSN_0</t>
    <phoneticPr fontId="16" type="noConversion"/>
  </si>
  <si>
    <t>SSI0_TXD(SSI0_D0)</t>
    <phoneticPr fontId="16" type="noConversion"/>
  </si>
  <si>
    <t>SSI0_RXD(SSI0_D1)</t>
    <phoneticPr fontId="16" type="noConversion"/>
  </si>
  <si>
    <t>SSI0_D2</t>
    <phoneticPr fontId="16" type="noConversion"/>
  </si>
  <si>
    <t>SSI0_D3</t>
    <phoneticPr fontId="16" type="noConversion"/>
  </si>
  <si>
    <t>H_LIGHT</t>
    <phoneticPr fontId="13" type="noConversion"/>
  </si>
  <si>
    <t>SD0_CD</t>
    <phoneticPr fontId="13" type="noConversion"/>
  </si>
  <si>
    <t>SD0_CLK</t>
    <phoneticPr fontId="13" type="noConversion"/>
  </si>
  <si>
    <t>SD0_CMD_RSP</t>
    <phoneticPr fontId="13" type="noConversion"/>
  </si>
  <si>
    <t>SD0_DATA_0</t>
    <phoneticPr fontId="13" type="noConversion"/>
  </si>
  <si>
    <t>SD0_DATA_1</t>
    <phoneticPr fontId="13" type="noConversion"/>
  </si>
  <si>
    <t>SD0_DATA_2</t>
    <phoneticPr fontId="13" type="noConversion"/>
  </si>
  <si>
    <t xml:space="preserve">ICR_OFF </t>
    <phoneticPr fontId="13" type="noConversion"/>
  </si>
  <si>
    <t>SD0_DATA_3</t>
    <phoneticPr fontId="13" type="noConversion"/>
  </si>
  <si>
    <t>光敏</t>
    <phoneticPr fontId="16" type="noConversion"/>
  </si>
  <si>
    <t>红外输入/Audio使能</t>
    <phoneticPr fontId="16" type="noConversion"/>
  </si>
  <si>
    <t>红外输入</t>
    <phoneticPr fontId="16" type="noConversion"/>
  </si>
  <si>
    <t>Audio使能</t>
    <phoneticPr fontId="13" type="noConversion"/>
  </si>
  <si>
    <t>ETH_LINK_ACT_LED/SD0卡使能</t>
    <phoneticPr fontId="13" type="noConversion"/>
  </si>
  <si>
    <t>ETH_LINK_ACT_LED</t>
    <phoneticPr fontId="13" type="noConversion"/>
  </si>
  <si>
    <t>ETH_LINK_ACT_LED / SD0卡使能</t>
    <phoneticPr fontId="13" type="noConversion"/>
  </si>
  <si>
    <t>ETH_LINK_STA_LED/红外灯 PWM11/PHY复位</t>
    <phoneticPr fontId="13" type="noConversion"/>
  </si>
  <si>
    <t>ETH_LINK_STA_LED</t>
    <phoneticPr fontId="13" type="noConversion"/>
  </si>
  <si>
    <t>AC_MICIN</t>
    <phoneticPr fontId="13" type="noConversion"/>
  </si>
  <si>
    <t>AC_MICBIAS</t>
    <phoneticPr fontId="13" type="noConversion"/>
  </si>
  <si>
    <t>USB_VBUS</t>
    <phoneticPr fontId="13" type="noConversion"/>
  </si>
  <si>
    <t>MIPI_CKP</t>
    <phoneticPr fontId="17" type="noConversion"/>
  </si>
  <si>
    <t>MIPI_CKN</t>
    <phoneticPr fontId="17" type="noConversion"/>
  </si>
  <si>
    <t>MIPI_DP0</t>
    <phoneticPr fontId="17" type="noConversion"/>
  </si>
  <si>
    <t>MIPI_DN0</t>
    <phoneticPr fontId="17" type="noConversion"/>
  </si>
  <si>
    <t>MIPI_DP1</t>
    <phoneticPr fontId="17" type="noConversion"/>
  </si>
  <si>
    <t>MIPI_DN1</t>
    <phoneticPr fontId="17" type="noConversion"/>
  </si>
  <si>
    <t>CLK</t>
    <phoneticPr fontId="13" type="noConversion"/>
  </si>
  <si>
    <t xml:space="preserve">QFN88模组 </t>
    <phoneticPr fontId="13" type="noConversion"/>
  </si>
  <si>
    <t>STM_H_0</t>
    <phoneticPr fontId="13" type="noConversion"/>
  </si>
  <si>
    <t>STM_H_1</t>
  </si>
  <si>
    <t>STM_H_2</t>
  </si>
  <si>
    <t>STM_H_3</t>
  </si>
  <si>
    <t>STM_V_1</t>
  </si>
  <si>
    <t>STM_V_2</t>
  </si>
  <si>
    <t>STM_V_3</t>
  </si>
  <si>
    <t>STM_V_0</t>
    <phoneticPr fontId="13" type="noConversion"/>
  </si>
  <si>
    <t>SD1_CLK（emmc）</t>
    <phoneticPr fontId="13" type="noConversion"/>
  </si>
  <si>
    <t>DDR_CAL</t>
    <phoneticPr fontId="13" type="noConversion"/>
  </si>
  <si>
    <t>MICINP_AC</t>
    <phoneticPr fontId="13" type="noConversion"/>
  </si>
  <si>
    <t>LOUT_AC</t>
    <phoneticPr fontId="13" type="noConversion"/>
  </si>
  <si>
    <t>VMID_AC</t>
    <phoneticPr fontId="13" type="noConversion"/>
  </si>
  <si>
    <t>MICBIAS_AC</t>
    <phoneticPr fontId="13" type="noConversion"/>
  </si>
  <si>
    <t>MICINN_AC</t>
    <phoneticPr fontId="13" type="noConversion"/>
  </si>
  <si>
    <t>1.8V (不可配）</t>
    <phoneticPr fontId="13" type="noConversion"/>
  </si>
  <si>
    <t>Voltage(v)</t>
    <phoneticPr fontId="13" type="noConversion"/>
  </si>
  <si>
    <t>FUNC9</t>
    <phoneticPr fontId="13" type="noConversion"/>
  </si>
  <si>
    <t>EPHY_RTX</t>
    <phoneticPr fontId="13" type="noConversion"/>
  </si>
  <si>
    <t>CKP_MIPI</t>
    <phoneticPr fontId="17" type="noConversion"/>
  </si>
  <si>
    <t>CKN_MIPI</t>
    <phoneticPr fontId="17" type="noConversion"/>
  </si>
  <si>
    <t>DP0_MIPI</t>
    <phoneticPr fontId="17" type="noConversion"/>
  </si>
  <si>
    <t>DN0_MIPI</t>
    <phoneticPr fontId="17" type="noConversion"/>
  </si>
  <si>
    <t>DP1_MIPI</t>
    <phoneticPr fontId="17" type="noConversion"/>
  </si>
  <si>
    <t>DN1_MIPI</t>
    <phoneticPr fontId="17" type="noConversion"/>
  </si>
  <si>
    <t>ETH_LINK_ACT_LED</t>
    <phoneticPr fontId="13" type="noConversion"/>
  </si>
  <si>
    <t>ETH_LINK_STA_LED</t>
    <phoneticPr fontId="13" type="noConversion"/>
  </si>
  <si>
    <t>SD1_CD</t>
    <phoneticPr fontId="13" type="noConversion"/>
  </si>
  <si>
    <t>XAIN0_SADC</t>
    <phoneticPr fontId="16" type="noConversion"/>
  </si>
  <si>
    <t>PWM0</t>
    <phoneticPr fontId="13" type="noConversion"/>
  </si>
  <si>
    <t>PWM1</t>
    <phoneticPr fontId="13" type="noConversion"/>
  </si>
  <si>
    <t>UART1_TX</t>
    <phoneticPr fontId="17" type="noConversion"/>
  </si>
  <si>
    <t>UART1_RX</t>
    <phoneticPr fontId="17" type="noConversion"/>
  </si>
  <si>
    <t>UART2_TX</t>
    <phoneticPr fontId="17" type="noConversion"/>
  </si>
  <si>
    <t>UART2_RX</t>
    <phoneticPr fontId="17" type="noConversion"/>
  </si>
  <si>
    <t>I2C1_SCL</t>
    <phoneticPr fontId="17" type="noConversion"/>
  </si>
  <si>
    <t>I2C1_SDA</t>
    <phoneticPr fontId="17" type="noConversion"/>
  </si>
  <si>
    <t>BOOT_MODE</t>
    <phoneticPr fontId="13" type="noConversion"/>
  </si>
  <si>
    <t>SENSOR_CLK</t>
    <phoneticPr fontId="13" type="noConversion"/>
  </si>
  <si>
    <t>SENSOR_RSTN</t>
    <phoneticPr fontId="13" type="noConversion"/>
  </si>
  <si>
    <t>GPIO0</t>
    <phoneticPr fontId="13" type="noConversion"/>
  </si>
  <si>
    <t>GPIO1</t>
    <phoneticPr fontId="13" type="noConversion"/>
  </si>
  <si>
    <t>GPIO2</t>
    <phoneticPr fontId="13" type="noConversion"/>
  </si>
  <si>
    <t>GPIO3</t>
    <phoneticPr fontId="13" type="noConversion"/>
  </si>
  <si>
    <t>GPIO4</t>
    <phoneticPr fontId="13" type="noConversion"/>
  </si>
  <si>
    <t>SSI0_CLK</t>
    <phoneticPr fontId="16" type="noConversion"/>
  </si>
  <si>
    <t>SSI0_CSN_0</t>
    <phoneticPr fontId="16" type="noConversion"/>
  </si>
  <si>
    <t>SSI0_TXD</t>
    <phoneticPr fontId="16" type="noConversion"/>
  </si>
  <si>
    <t>SSI0_RXD</t>
    <phoneticPr fontId="16" type="noConversion"/>
  </si>
  <si>
    <t>SSI0_D2</t>
    <phoneticPr fontId="16" type="noConversion"/>
  </si>
  <si>
    <t>SSI0_D3</t>
    <phoneticPr fontId="16" type="noConversion"/>
  </si>
  <si>
    <t>XAIN0_SADC</t>
    <phoneticPr fontId="16" type="noConversion"/>
  </si>
  <si>
    <t>GPIO29</t>
    <phoneticPr fontId="13" type="noConversion"/>
  </si>
  <si>
    <t>I2C0_SCL</t>
    <phoneticPr fontId="17" type="noConversion"/>
  </si>
  <si>
    <t>I2C0_SDA</t>
    <phoneticPr fontId="17" type="noConversion"/>
  </si>
  <si>
    <t>SD0_CD</t>
    <phoneticPr fontId="13" type="noConversion"/>
  </si>
  <si>
    <t>SD0_CLK</t>
    <phoneticPr fontId="13" type="noConversion"/>
  </si>
  <si>
    <t>SD0_CMD_RSP</t>
    <phoneticPr fontId="13" type="noConversion"/>
  </si>
  <si>
    <t>SD0_DATA_0</t>
    <phoneticPr fontId="13" type="noConversion"/>
  </si>
  <si>
    <t>SD0_DATA_1</t>
    <phoneticPr fontId="13" type="noConversion"/>
  </si>
  <si>
    <t>SD0_DATA_2</t>
    <phoneticPr fontId="13" type="noConversion"/>
  </si>
  <si>
    <t>SD0_DATA_3</t>
    <phoneticPr fontId="13" type="noConversion"/>
  </si>
  <si>
    <t>SD1_CD（emmc）</t>
    <phoneticPr fontId="13" type="noConversion"/>
  </si>
  <si>
    <t>GPIO12</t>
    <phoneticPr fontId="13" type="noConversion"/>
  </si>
  <si>
    <t>GPIO28</t>
    <phoneticPr fontId="13" type="noConversion"/>
  </si>
  <si>
    <t>HiZ</t>
    <phoneticPr fontId="13" type="noConversion"/>
  </si>
  <si>
    <t>NA</t>
    <phoneticPr fontId="13" type="noConversion"/>
  </si>
  <si>
    <t>PU</t>
    <phoneticPr fontId="13" type="noConversion"/>
  </si>
  <si>
    <t xml:space="preserve">I </t>
    <phoneticPr fontId="13" type="noConversion"/>
  </si>
  <si>
    <t>PU</t>
    <phoneticPr fontId="13" type="noConversion"/>
  </si>
  <si>
    <t>I</t>
    <phoneticPr fontId="13" type="noConversion"/>
  </si>
  <si>
    <t>0/1</t>
    <phoneticPr fontId="13" type="noConversion"/>
  </si>
  <si>
    <t xml:space="preserve">I </t>
    <phoneticPr fontId="13" type="noConversion"/>
  </si>
  <si>
    <t>HiZ</t>
    <phoneticPr fontId="13" type="noConversion"/>
  </si>
  <si>
    <t>NA</t>
    <phoneticPr fontId="13" type="noConversion"/>
  </si>
  <si>
    <t>O</t>
    <phoneticPr fontId="13" type="noConversion"/>
  </si>
  <si>
    <t>PU</t>
    <phoneticPr fontId="13" type="noConversion"/>
  </si>
  <si>
    <t>I/O</t>
    <phoneticPr fontId="13" type="noConversion"/>
  </si>
  <si>
    <t>Default MFS
[27:24]</t>
    <phoneticPr fontId="17" type="noConversion"/>
  </si>
  <si>
    <t>N/A</t>
    <phoneticPr fontId="13" type="noConversion"/>
  </si>
  <si>
    <t>Func0</t>
    <phoneticPr fontId="13" type="noConversion"/>
  </si>
  <si>
    <t>Func1</t>
    <phoneticPr fontId="13" type="noConversion"/>
  </si>
  <si>
    <t>电平状态</t>
    <phoneticPr fontId="13" type="noConversion"/>
  </si>
  <si>
    <t>IO电源已上电，CORE电源未上电</t>
    <phoneticPr fontId="13" type="noConversion"/>
  </si>
  <si>
    <t>PU=1</t>
    <phoneticPr fontId="13" type="noConversion"/>
  </si>
  <si>
    <t>PD=0</t>
    <phoneticPr fontId="13" type="noConversion"/>
  </si>
  <si>
    <t>PU=0</t>
    <phoneticPr fontId="13" type="noConversion"/>
  </si>
  <si>
    <t xml:space="preserve"> -</t>
    <phoneticPr fontId="13" type="noConversion"/>
  </si>
  <si>
    <t>ScanPD</t>
    <phoneticPr fontId="13" type="noConversion"/>
  </si>
  <si>
    <t>ScanPU</t>
    <phoneticPr fontId="13" type="noConversion"/>
  </si>
  <si>
    <t>SSI1_CSN_1（标准复用）</t>
    <phoneticPr fontId="16" type="noConversion"/>
  </si>
  <si>
    <t>I</t>
    <phoneticPr fontId="13" type="noConversion"/>
  </si>
  <si>
    <t>GPIO28(emmc0/1 rst)</t>
    <phoneticPr fontId="13" type="noConversion"/>
  </si>
  <si>
    <t xml:space="preserve">HiZ </t>
  </si>
  <si>
    <t xml:space="preserve">I </t>
    <phoneticPr fontId="13" type="noConversion"/>
  </si>
  <si>
    <t>I</t>
    <phoneticPr fontId="13" type="noConversion"/>
  </si>
  <si>
    <t>HiZ</t>
    <phoneticPr fontId="13" type="noConversion"/>
  </si>
  <si>
    <t>O</t>
    <phoneticPr fontId="13" type="noConversion"/>
  </si>
  <si>
    <t>PU</t>
    <phoneticPr fontId="13" type="noConversion"/>
  </si>
  <si>
    <t>H</t>
    <phoneticPr fontId="13" type="noConversion"/>
  </si>
  <si>
    <t xml:space="preserve">HiZ </t>
    <phoneticPr fontId="13" type="noConversion"/>
  </si>
  <si>
    <t>L</t>
    <phoneticPr fontId="13" type="noConversion"/>
  </si>
  <si>
    <r>
      <rPr>
        <b/>
        <sz val="9"/>
        <color theme="1"/>
        <rFont val="微软雅黑"/>
        <family val="2"/>
        <charset val="134"/>
      </rPr>
      <t>电平状态说明：</t>
    </r>
    <r>
      <rPr>
        <sz val="9"/>
        <color theme="1"/>
        <rFont val="微软雅黑"/>
        <family val="2"/>
        <charset val="134"/>
      </rPr>
      <t xml:space="preserve">
  L:输出低电平；
  H:输出高电平；
  HiZ:输入高阻态,由芯片外部状态决定；
  NA：不适用
  PU:输入态带内部上拉；
  PD:输入态带内部下拉；
  X:输出状态不确定
  0/1: 期间有翻转</t>
    </r>
    <phoneticPr fontId="13" type="noConversion"/>
  </si>
  <si>
    <t>HiZ</t>
    <phoneticPr fontId="13" type="noConversion"/>
  </si>
  <si>
    <t>X</t>
    <phoneticPr fontId="13" type="noConversion"/>
  </si>
  <si>
    <t>PU</t>
    <phoneticPr fontId="13" type="noConversion"/>
  </si>
  <si>
    <t>0/1</t>
    <phoneticPr fontId="13" type="noConversion"/>
  </si>
  <si>
    <t>I/O</t>
    <phoneticPr fontId="13" type="noConversion"/>
  </si>
  <si>
    <t>autoload: 常0  安全模式：会翻转</t>
    <phoneticPr fontId="13" type="noConversion"/>
  </si>
  <si>
    <t>ROM期间JTAG不启动，因此始终为输入</t>
    <phoneticPr fontId="13" type="noConversion"/>
  </si>
  <si>
    <t>flash：输出  emmc：也是输出，但是会短暂切为输入</t>
    <phoneticPr fontId="13" type="noConversion"/>
  </si>
  <si>
    <t xml:space="preserve">flash：默认输入，有数据时变成输出  emmc：仅输出  </t>
    <phoneticPr fontId="13" type="noConversion"/>
  </si>
  <si>
    <t>默认输入，emmc时仅输出</t>
    <phoneticPr fontId="13" type="noConversion"/>
  </si>
  <si>
    <t>3.3V</t>
  </si>
  <si>
    <t>1.8V (不可配）</t>
    <phoneticPr fontId="13" type="noConversion"/>
  </si>
  <si>
    <t>FH8856v310 APP板</t>
    <phoneticPr fontId="13" type="noConversion"/>
  </si>
  <si>
    <t>SD0_CD</t>
    <phoneticPr fontId="13" type="noConversion"/>
  </si>
  <si>
    <t>SD0_CLK</t>
    <phoneticPr fontId="13" type="noConversion"/>
  </si>
  <si>
    <t>SD0_CMD_RSP</t>
    <phoneticPr fontId="13" type="noConversion"/>
  </si>
  <si>
    <t>SD0_DATA_0</t>
    <phoneticPr fontId="13" type="noConversion"/>
  </si>
  <si>
    <t>SD0_DATA_1</t>
    <phoneticPr fontId="13" type="noConversion"/>
  </si>
  <si>
    <t>GPIO29</t>
    <phoneticPr fontId="13" type="noConversion"/>
  </si>
  <si>
    <t>GPIO28</t>
    <phoneticPr fontId="13" type="noConversion"/>
  </si>
  <si>
    <t>VDDK</t>
    <phoneticPr fontId="13" type="noConversion"/>
  </si>
  <si>
    <t>VDDIO_18OD33</t>
    <phoneticPr fontId="13" type="noConversion"/>
  </si>
  <si>
    <t>BOOT_MODE</t>
    <phoneticPr fontId="13" type="noConversion"/>
  </si>
  <si>
    <t>BOOT_SEL1</t>
    <phoneticPr fontId="13" type="noConversion"/>
  </si>
  <si>
    <t>BOOT_SEL0</t>
    <phoneticPr fontId="13" type="noConversion"/>
  </si>
  <si>
    <t>EPHY_RTX</t>
    <phoneticPr fontId="13" type="noConversion"/>
  </si>
  <si>
    <t>VDDA33_EPHY</t>
    <phoneticPr fontId="13" type="noConversion"/>
  </si>
  <si>
    <t>EPHY_TXP</t>
    <phoneticPr fontId="13" type="noConversion"/>
  </si>
  <si>
    <t>EPHY_TXN</t>
    <phoneticPr fontId="13" type="noConversion"/>
  </si>
  <si>
    <t>EPHY_RXP</t>
    <phoneticPr fontId="13" type="noConversion"/>
  </si>
  <si>
    <t>EPHY_RXN</t>
    <phoneticPr fontId="13" type="noConversion"/>
  </si>
  <si>
    <t>DN0_MIPI</t>
    <phoneticPr fontId="13" type="noConversion"/>
  </si>
  <si>
    <t>USB_REXT</t>
    <phoneticPr fontId="13" type="noConversion"/>
  </si>
  <si>
    <t>DEVICE 1.8/3.3V</t>
    <phoneticPr fontId="13" type="noConversion"/>
  </si>
  <si>
    <t>DP0_MIPI</t>
    <phoneticPr fontId="13" type="noConversion"/>
  </si>
  <si>
    <t>USB_DM</t>
    <phoneticPr fontId="13" type="noConversion"/>
  </si>
  <si>
    <t>PLL 1.8V</t>
    <phoneticPr fontId="13" type="noConversion"/>
  </si>
  <si>
    <t>DP1_MIPI</t>
    <phoneticPr fontId="13" type="noConversion"/>
  </si>
  <si>
    <t>USB_DP</t>
    <phoneticPr fontId="13" type="noConversion"/>
  </si>
  <si>
    <t>Dig 1.8V</t>
    <phoneticPr fontId="13" type="noConversion"/>
  </si>
  <si>
    <t>DN1_MIPI</t>
    <phoneticPr fontId="13" type="noConversion"/>
  </si>
  <si>
    <t>VDDA33_USB</t>
    <phoneticPr fontId="13" type="noConversion"/>
  </si>
  <si>
    <t>MIPI 1.8V</t>
    <phoneticPr fontId="13" type="noConversion"/>
  </si>
  <si>
    <t>CKN_MIPI</t>
    <phoneticPr fontId="13" type="noConversion"/>
  </si>
  <si>
    <t>USB_VBUS</t>
    <phoneticPr fontId="13" type="noConversion"/>
  </si>
  <si>
    <t>USB</t>
    <phoneticPr fontId="13" type="noConversion"/>
  </si>
  <si>
    <t>CKP_MIPI</t>
    <phoneticPr fontId="13" type="noConversion"/>
  </si>
  <si>
    <t>RTC</t>
    <phoneticPr fontId="13" type="noConversion"/>
  </si>
  <si>
    <t>REXT_MIPI</t>
    <phoneticPr fontId="13" type="noConversion"/>
  </si>
  <si>
    <t>USB_PWREN</t>
    <phoneticPr fontId="13" type="noConversion"/>
  </si>
  <si>
    <t>DDR</t>
    <phoneticPr fontId="13" type="noConversion"/>
  </si>
  <si>
    <t>SENSOR_RSTN</t>
    <phoneticPr fontId="13" type="noConversion"/>
  </si>
  <si>
    <t>UART1_TX</t>
    <phoneticPr fontId="13" type="noConversion"/>
  </si>
  <si>
    <t>ANA 1.8V</t>
    <phoneticPr fontId="13" type="noConversion"/>
  </si>
  <si>
    <t>SENSOR_CLK</t>
    <phoneticPr fontId="13" type="noConversion"/>
  </si>
  <si>
    <t>UART1_RX</t>
    <phoneticPr fontId="13" type="noConversion"/>
  </si>
  <si>
    <t>EPHY</t>
    <phoneticPr fontId="13" type="noConversion"/>
  </si>
  <si>
    <t>I2C0_SDA</t>
    <phoneticPr fontId="13" type="noConversion"/>
  </si>
  <si>
    <t>UART2_TX</t>
    <phoneticPr fontId="13" type="noConversion"/>
  </si>
  <si>
    <t>I2C0_SCL</t>
    <phoneticPr fontId="13" type="noConversion"/>
  </si>
  <si>
    <t>UART2_RX</t>
    <phoneticPr fontId="13" type="noConversion"/>
  </si>
  <si>
    <t>外接电阻</t>
    <phoneticPr fontId="13" type="noConversion"/>
  </si>
  <si>
    <t>XAIN0_SADC</t>
    <phoneticPr fontId="13" type="noConversion"/>
  </si>
  <si>
    <t>I2C1_SCL</t>
    <phoneticPr fontId="13" type="noConversion"/>
  </si>
  <si>
    <t>XAIN1_SADC</t>
    <phoneticPr fontId="13" type="noConversion"/>
  </si>
  <si>
    <t>I2C1_SDA</t>
    <phoneticPr fontId="13" type="noConversion"/>
  </si>
  <si>
    <t>LOUT_AC</t>
    <phoneticPr fontId="13" type="noConversion"/>
  </si>
  <si>
    <t>VMID_AC</t>
    <phoneticPr fontId="13" type="noConversion"/>
  </si>
  <si>
    <t>GPIO4</t>
    <phoneticPr fontId="13" type="noConversion"/>
  </si>
  <si>
    <t>MICINP_AC</t>
    <phoneticPr fontId="13" type="noConversion"/>
  </si>
  <si>
    <t>GPIO3</t>
    <phoneticPr fontId="13" type="noConversion"/>
  </si>
  <si>
    <t>MICBIAS_AC</t>
    <phoneticPr fontId="13" type="noConversion"/>
  </si>
  <si>
    <t>GPIO2</t>
    <phoneticPr fontId="13" type="noConversion"/>
  </si>
  <si>
    <t>GPIO1</t>
    <phoneticPr fontId="13" type="noConversion"/>
  </si>
  <si>
    <t>VDDIO_18</t>
    <phoneticPr fontId="13" type="noConversion"/>
  </si>
  <si>
    <t>GPIO0</t>
    <phoneticPr fontId="13" type="noConversion"/>
  </si>
  <si>
    <t>XOUT_RTC</t>
    <phoneticPr fontId="13" type="noConversion"/>
  </si>
  <si>
    <t>UART0_RX</t>
    <phoneticPr fontId="13" type="noConversion"/>
  </si>
  <si>
    <t>XIN_RTC</t>
    <phoneticPr fontId="13" type="noConversion"/>
  </si>
  <si>
    <t>UART0_TX</t>
    <phoneticPr fontId="13" type="noConversion"/>
  </si>
  <si>
    <t>PWM1</t>
    <phoneticPr fontId="13" type="noConversion"/>
  </si>
  <si>
    <t>PWM0</t>
    <phoneticPr fontId="13" type="noConversion"/>
  </si>
  <si>
    <t>SSIO_CLK</t>
    <phoneticPr fontId="13" type="noConversion"/>
  </si>
  <si>
    <t>SSIO_CSN_0</t>
    <phoneticPr fontId="13" type="noConversion"/>
  </si>
  <si>
    <t>SSIO_TXD</t>
    <phoneticPr fontId="13" type="noConversion"/>
  </si>
  <si>
    <t>SSIO_RXD</t>
    <phoneticPr fontId="13" type="noConversion"/>
  </si>
  <si>
    <t>SSIO_D2</t>
    <phoneticPr fontId="13" type="noConversion"/>
  </si>
  <si>
    <t>SSIO_D3</t>
    <phoneticPr fontId="13" type="noConversion"/>
  </si>
  <si>
    <t>VDDIO_DDR_135</t>
    <phoneticPr fontId="13" type="noConversion"/>
  </si>
  <si>
    <t>DDR_ZQ</t>
    <phoneticPr fontId="13" type="noConversion"/>
  </si>
  <si>
    <t>DDR_CAL</t>
    <phoneticPr fontId="13" type="noConversion"/>
  </si>
  <si>
    <t>GNDA_PLL</t>
    <phoneticPr fontId="13" type="noConversion"/>
  </si>
  <si>
    <t>VDDA09_PLL</t>
    <phoneticPr fontId="13" type="noConversion"/>
  </si>
  <si>
    <t>VDDA18_PLL</t>
    <phoneticPr fontId="13" type="noConversion"/>
  </si>
  <si>
    <t>CLK_IN</t>
    <phoneticPr fontId="13" type="noConversion"/>
  </si>
  <si>
    <t>CLK</t>
    <phoneticPr fontId="13" type="noConversion"/>
  </si>
  <si>
    <t>RESETN</t>
    <phoneticPr fontId="13" type="noConversion"/>
  </si>
  <si>
    <t>VDDA_RTC</t>
    <phoneticPr fontId="13" type="noConversion"/>
  </si>
  <si>
    <t>FH8856V310</t>
    <phoneticPr fontId="13" type="noConversion"/>
  </si>
  <si>
    <t>FH8856v310内置DDR3L颗粒电源</t>
    <phoneticPr fontId="13" type="noConversion"/>
  </si>
  <si>
    <t>1.35V</t>
    <phoneticPr fontId="13" type="noConversion"/>
  </si>
  <si>
    <t>VDDIO_18/VDDA18_EPHY</t>
    <phoneticPr fontId="13" type="noConversion"/>
  </si>
  <si>
    <t>VDDIO_18/VDDA18_USB</t>
    <phoneticPr fontId="13" type="noConversion"/>
  </si>
  <si>
    <t>VDDA18_AC/MIPI/SADC</t>
    <phoneticPr fontId="13" type="noConversion"/>
  </si>
  <si>
    <t>VDDA18_AC/MIPI/SADC</t>
    <phoneticPr fontId="13" type="noConversion"/>
  </si>
  <si>
    <t>新建pinout。</t>
    <phoneticPr fontId="13" type="noConversion"/>
  </si>
  <si>
    <r>
      <t xml:space="preserve">3.3V </t>
    </r>
    <r>
      <rPr>
        <sz val="11"/>
        <rFont val="宋体"/>
        <family val="2"/>
      </rPr>
      <t>通用输入输出。</t>
    </r>
  </si>
  <si>
    <r>
      <t>3.3V I2C</t>
    </r>
    <r>
      <rPr>
        <sz val="11"/>
        <rFont val="宋体"/>
        <family val="2"/>
      </rPr>
      <t>总线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时钟。</t>
    </r>
  </si>
  <si>
    <r>
      <t>3.3V UART1</t>
    </r>
    <r>
      <rPr>
        <sz val="11"/>
        <rFont val="宋体"/>
        <family val="2"/>
      </rPr>
      <t>数据接收。</t>
    </r>
  </si>
  <si>
    <r>
      <t>3.3V I2C</t>
    </r>
    <r>
      <rPr>
        <sz val="11"/>
        <rFont val="宋体"/>
        <family val="2"/>
      </rPr>
      <t>总线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/</t>
    </r>
    <r>
      <rPr>
        <sz val="11"/>
        <rFont val="宋体"/>
        <family val="2"/>
      </rPr>
      <t>地址。</t>
    </r>
  </si>
  <si>
    <r>
      <t>3.3V UART1</t>
    </r>
    <r>
      <rPr>
        <sz val="11"/>
        <rFont val="宋体"/>
        <family val="2"/>
      </rPr>
      <t>发送数据。</t>
    </r>
  </si>
  <si>
    <r>
      <t>3.3V USB</t>
    </r>
    <r>
      <rPr>
        <sz val="11"/>
        <rFont val="宋体"/>
        <family val="2"/>
      </rPr>
      <t>端口电源输出使能，默认高有效。</t>
    </r>
  </si>
  <si>
    <r>
      <t>3.3V UART2</t>
    </r>
    <r>
      <rPr>
        <sz val="11"/>
        <rFont val="宋体"/>
        <family val="2"/>
      </rPr>
      <t>接收数据。</t>
    </r>
  </si>
  <si>
    <r>
      <t>3.3V UART2</t>
    </r>
    <r>
      <rPr>
        <sz val="11"/>
        <rFont val="宋体"/>
        <family val="2"/>
      </rPr>
      <t>发送数据。</t>
    </r>
  </si>
  <si>
    <r>
      <t xml:space="preserve">3.3V </t>
    </r>
    <r>
      <rPr>
        <sz val="11"/>
        <rFont val="宋体"/>
        <family val="2"/>
      </rPr>
      <t>信号</t>
    </r>
  </si>
  <si>
    <r>
      <t xml:space="preserve">3.3V </t>
    </r>
    <r>
      <rPr>
        <sz val="11"/>
        <rFont val="宋体"/>
        <family val="3"/>
        <charset val="134"/>
      </rPr>
      <t>信号</t>
    </r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</si>
  <si>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</t>
    </r>
    <phoneticPr fontId="13" type="noConversion"/>
  </si>
  <si>
    <r>
      <t>3.3V SDIO0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2</t>
    </r>
    <r>
      <rPr>
        <sz val="11"/>
        <rFont val="宋体"/>
        <family val="2"/>
      </rPr>
      <t>。</t>
    </r>
  </si>
  <si>
    <r>
      <t>3.3V SDIO0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3</t>
    </r>
    <r>
      <rPr>
        <sz val="11"/>
        <rFont val="宋体"/>
        <family val="2"/>
      </rPr>
      <t>。</t>
    </r>
  </si>
  <si>
    <r>
      <t>3.3V SDIO0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。</t>
    </r>
  </si>
  <si>
    <r>
      <t>3.3V SDIO0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。</t>
    </r>
  </si>
  <si>
    <r>
      <t>3.3V SDIO0</t>
    </r>
    <r>
      <rPr>
        <sz val="11"/>
        <rFont val="宋体"/>
        <family val="2"/>
      </rPr>
      <t>时钟信号。</t>
    </r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</si>
  <si>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0</t>
    </r>
    <r>
      <rPr>
        <sz val="11"/>
        <rFont val="宋体"/>
        <family val="3"/>
        <charset val="134"/>
      </rPr>
      <t>负极。</t>
    </r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</si>
  <si>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0</t>
    </r>
    <r>
      <rPr>
        <sz val="11"/>
        <rFont val="宋体"/>
        <family val="3"/>
        <charset val="134"/>
      </rPr>
      <t>正极。</t>
    </r>
  </si>
  <si>
    <r>
      <t>3.3V PWM</t>
    </r>
    <r>
      <rPr>
        <sz val="11"/>
        <rFont val="宋体"/>
        <family val="2"/>
      </rPr>
      <t>输出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。</t>
    </r>
  </si>
  <si>
    <r>
      <t>3.3V PWM</t>
    </r>
    <r>
      <rPr>
        <sz val="11"/>
        <rFont val="宋体"/>
        <family val="2"/>
      </rPr>
      <t>输出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。</t>
    </r>
  </si>
  <si>
    <r>
      <rPr>
        <sz val="11"/>
        <rFont val="宋体"/>
        <family val="2"/>
      </rPr>
      <t>音频接口左声道输出。</t>
    </r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</si>
  <si>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负极。</t>
    </r>
  </si>
  <si>
    <r>
      <t>MIPI</t>
    </r>
    <r>
      <rPr>
        <sz val="11"/>
        <rFont val="宋体"/>
        <family val="3"/>
        <charset val="134"/>
      </rPr>
      <t>接口差分数据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正极。</t>
    </r>
  </si>
  <si>
    <r>
      <t>MIPI</t>
    </r>
    <r>
      <rPr>
        <sz val="11"/>
        <rFont val="宋体"/>
        <family val="3"/>
        <charset val="134"/>
      </rPr>
      <t>接口差分时钟负极。</t>
    </r>
  </si>
  <si>
    <r>
      <t>MIPI</t>
    </r>
    <r>
      <rPr>
        <sz val="11"/>
        <rFont val="宋体"/>
        <family val="3"/>
        <charset val="134"/>
      </rPr>
      <t>接口差分时钟正极。</t>
    </r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</si>
  <si>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4.02KΩ</t>
    </r>
    <r>
      <rPr>
        <sz val="11"/>
        <rFont val="宋体"/>
        <family val="2"/>
      </rPr>
      <t>电阻</t>
    </r>
    <r>
      <rPr>
        <sz val="11"/>
        <rFont val="Times New Roman"/>
        <family val="1"/>
      </rPr>
      <t>(±1%)</t>
    </r>
    <phoneticPr fontId="13" type="noConversion"/>
  </si>
  <si>
    <r>
      <t>1.8V Image Sensor</t>
    </r>
    <r>
      <rPr>
        <sz val="11"/>
        <rFont val="宋体"/>
        <family val="2"/>
      </rPr>
      <t>复位信号。</t>
    </r>
    <phoneticPr fontId="13" type="noConversion"/>
  </si>
  <si>
    <r>
      <t>1.8V Image Sensor</t>
    </r>
    <r>
      <rPr>
        <sz val="11"/>
        <rFont val="宋体"/>
        <family val="2"/>
      </rPr>
      <t>工作时钟。</t>
    </r>
    <phoneticPr fontId="13" type="noConversion"/>
  </si>
  <si>
    <r>
      <t>1.8V I2C</t>
    </r>
    <r>
      <rPr>
        <sz val="11"/>
        <rFont val="宋体"/>
        <family val="2"/>
      </rPr>
      <t>总线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数据</t>
    </r>
    <r>
      <rPr>
        <sz val="11"/>
        <rFont val="Times New Roman"/>
        <family val="1"/>
      </rPr>
      <t>/</t>
    </r>
    <r>
      <rPr>
        <sz val="11"/>
        <rFont val="宋体"/>
        <family val="2"/>
      </rPr>
      <t>地址。</t>
    </r>
    <phoneticPr fontId="13" type="noConversion"/>
  </si>
  <si>
    <r>
      <t>1.8V I2C</t>
    </r>
    <r>
      <rPr>
        <sz val="11"/>
        <rFont val="宋体"/>
        <family val="2"/>
      </rPr>
      <t>总线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时钟。</t>
    </r>
    <phoneticPr fontId="13" type="noConversion"/>
  </si>
  <si>
    <r>
      <t>1.8V SADC</t>
    </r>
    <r>
      <rPr>
        <sz val="11"/>
        <rFont val="宋体"/>
        <family val="2"/>
      </rPr>
      <t>通道</t>
    </r>
    <r>
      <rPr>
        <sz val="11"/>
        <rFont val="Times New Roman"/>
        <family val="1"/>
      </rPr>
      <t>0</t>
    </r>
    <r>
      <rPr>
        <sz val="11"/>
        <rFont val="宋体"/>
        <family val="2"/>
      </rPr>
      <t>。</t>
    </r>
    <phoneticPr fontId="13" type="noConversion"/>
  </si>
  <si>
    <r>
      <t>1.8V SADC</t>
    </r>
    <r>
      <rPr>
        <sz val="11"/>
        <rFont val="宋体"/>
        <family val="2"/>
      </rPr>
      <t>通道</t>
    </r>
    <r>
      <rPr>
        <sz val="11"/>
        <rFont val="Times New Roman"/>
        <family val="1"/>
      </rPr>
      <t>1</t>
    </r>
    <r>
      <rPr>
        <sz val="11"/>
        <rFont val="宋体"/>
        <family val="2"/>
      </rPr>
      <t>。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</si>
  <si>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1.8V </t>
    </r>
    <r>
      <rPr>
        <sz val="11"/>
        <rFont val="宋体"/>
        <family val="2"/>
      </rPr>
      <t>电源</t>
    </r>
    <phoneticPr fontId="13" type="noConversion"/>
  </si>
  <si>
    <r>
      <rPr>
        <sz val="11"/>
        <rFont val="宋体"/>
        <family val="2"/>
      </rPr>
      <t>音频信号</t>
    </r>
    <phoneticPr fontId="13" type="noConversion"/>
  </si>
  <si>
    <r>
      <rPr>
        <sz val="11"/>
        <rFont val="宋体"/>
        <family val="3"/>
        <charset val="134"/>
      </rPr>
      <t>音频信号</t>
    </r>
    <phoneticPr fontId="13" type="noConversion"/>
  </si>
  <si>
    <r>
      <rPr>
        <sz val="11"/>
        <rFont val="宋体"/>
        <family val="2"/>
      </rPr>
      <t>音频输入麦克风偏置。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</si>
  <si>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0.9V </t>
    </r>
    <r>
      <rPr>
        <sz val="11"/>
        <rFont val="宋体"/>
        <family val="2"/>
      </rPr>
      <t>电源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</si>
  <si>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</t>
    </r>
    <phoneticPr fontId="13" type="noConversion"/>
  </si>
  <si>
    <r>
      <t>3.3V UART0</t>
    </r>
    <r>
      <rPr>
        <sz val="11"/>
        <rFont val="宋体"/>
        <family val="2"/>
      </rPr>
      <t>接收数据。</t>
    </r>
  </si>
  <si>
    <r>
      <t>3.3V UART0</t>
    </r>
    <r>
      <rPr>
        <sz val="11"/>
        <rFont val="宋体"/>
        <family val="2"/>
      </rPr>
      <t>发送数据。</t>
    </r>
  </si>
  <si>
    <r>
      <t xml:space="preserve">3.3V </t>
    </r>
    <r>
      <rPr>
        <sz val="11"/>
        <rFont val="宋体"/>
        <family val="2"/>
      </rPr>
      <t>通用输入输出</t>
    </r>
  </si>
  <si>
    <r>
      <rPr>
        <sz val="11"/>
        <rFont val="宋体"/>
        <family val="2"/>
      </rPr>
      <t>内置</t>
    </r>
    <r>
      <rPr>
        <sz val="11"/>
        <rFont val="Times New Roman"/>
        <family val="1"/>
      </rPr>
      <t>DDR3L</t>
    </r>
    <r>
      <rPr>
        <sz val="11"/>
        <rFont val="宋体"/>
        <family val="2"/>
      </rPr>
      <t>颗粒，使用</t>
    </r>
    <r>
      <rPr>
        <sz val="11"/>
        <rFont val="Times New Roman"/>
        <family val="1"/>
      </rPr>
      <t>1.35V</t>
    </r>
    <r>
      <rPr>
        <sz val="11"/>
        <rFont val="宋体"/>
        <family val="2"/>
      </rPr>
      <t>电源；内置</t>
    </r>
    <r>
      <rPr>
        <sz val="11"/>
        <rFont val="Times New Roman"/>
        <family val="1"/>
      </rPr>
      <t>DDR2</t>
    </r>
    <r>
      <rPr>
        <sz val="11"/>
        <rFont val="宋体"/>
        <family val="2"/>
      </rPr>
      <t>颗粒，使用</t>
    </r>
    <r>
      <rPr>
        <sz val="11"/>
        <rFont val="Times New Roman"/>
        <family val="1"/>
      </rPr>
      <t>1.8V</t>
    </r>
    <r>
      <rPr>
        <sz val="11"/>
        <rFont val="宋体"/>
        <family val="2"/>
      </rPr>
      <t>电源；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</si>
  <si>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240Ω</t>
    </r>
    <r>
      <rPr>
        <sz val="11"/>
        <rFont val="宋体"/>
        <family val="2"/>
      </rPr>
      <t>电阻</t>
    </r>
    <r>
      <rPr>
        <sz val="11"/>
        <rFont val="Times New Roman"/>
        <family val="1"/>
      </rPr>
      <t xml:space="preserve">(±1%) </t>
    </r>
    <r>
      <rPr>
        <sz val="11"/>
        <rFont val="宋体"/>
        <family val="2"/>
      </rPr>
      <t>（不能与</t>
    </r>
    <r>
      <rPr>
        <sz val="11"/>
        <rFont val="Times New Roman"/>
        <family val="1"/>
      </rPr>
      <t>DDR_CAL</t>
    </r>
    <r>
      <rPr>
        <sz val="11"/>
        <rFont val="宋体"/>
        <family val="2"/>
      </rPr>
      <t>共用）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</si>
  <si>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240Ω</t>
    </r>
    <r>
      <rPr>
        <sz val="11"/>
        <rFont val="宋体"/>
        <family val="2"/>
      </rPr>
      <t>电阻</t>
    </r>
    <r>
      <rPr>
        <sz val="11"/>
        <rFont val="Times New Roman"/>
        <family val="1"/>
      </rPr>
      <t xml:space="preserve">(±1%) </t>
    </r>
    <r>
      <rPr>
        <sz val="11"/>
        <rFont val="宋体"/>
        <family val="2"/>
      </rPr>
      <t>（不能与</t>
    </r>
    <r>
      <rPr>
        <sz val="11"/>
        <rFont val="Times New Roman"/>
        <family val="1"/>
      </rPr>
      <t>DDR_ZQ</t>
    </r>
    <r>
      <rPr>
        <sz val="11"/>
        <rFont val="宋体"/>
        <family val="2"/>
      </rPr>
      <t>共用）</t>
    </r>
    <phoneticPr fontId="13" type="noConversion"/>
  </si>
  <si>
    <r>
      <t xml:space="preserve">PLL </t>
    </r>
    <r>
      <rPr>
        <sz val="11"/>
        <rFont val="宋体"/>
        <family val="2"/>
      </rPr>
      <t>地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</si>
  <si>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4.7uf</t>
    </r>
    <r>
      <rPr>
        <sz val="11"/>
        <rFont val="宋体"/>
        <family val="2"/>
      </rPr>
      <t>稳压电容</t>
    </r>
    <phoneticPr fontId="13" type="noConversion"/>
  </si>
  <si>
    <r>
      <t>1.8V 24M</t>
    </r>
    <r>
      <rPr>
        <sz val="11"/>
        <rFont val="宋体"/>
        <family val="2"/>
      </rPr>
      <t>晶体输入。</t>
    </r>
    <phoneticPr fontId="13" type="noConversion"/>
  </si>
  <si>
    <r>
      <t>1.8V 24M</t>
    </r>
    <r>
      <rPr>
        <sz val="11"/>
        <rFont val="宋体"/>
        <family val="2"/>
      </rPr>
      <t>晶体驱动输出。</t>
    </r>
    <phoneticPr fontId="13" type="noConversion"/>
  </si>
  <si>
    <r>
      <t xml:space="preserve">1.8V </t>
    </r>
    <r>
      <rPr>
        <sz val="11"/>
        <rFont val="宋体"/>
        <family val="2"/>
      </rPr>
      <t>信号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</si>
  <si>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电源（</t>
    </r>
    <r>
      <rPr>
        <sz val="11"/>
        <rFont val="Times New Roman"/>
        <family val="1"/>
      </rPr>
      <t>2.0V-3.3V</t>
    </r>
    <r>
      <rPr>
        <sz val="11"/>
        <rFont val="宋体"/>
        <family val="2"/>
      </rPr>
      <t>）</t>
    </r>
    <phoneticPr fontId="13" type="noConversion"/>
  </si>
  <si>
    <r>
      <t>RTC</t>
    </r>
    <r>
      <rPr>
        <sz val="11"/>
        <rFont val="宋体"/>
        <family val="2"/>
      </rPr>
      <t>晶体输入。</t>
    </r>
    <phoneticPr fontId="13" type="noConversion"/>
  </si>
  <si>
    <r>
      <t>RTC</t>
    </r>
    <r>
      <rPr>
        <sz val="11"/>
        <rFont val="宋体"/>
        <family val="2"/>
      </rPr>
      <t>晶体驱动输出。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</si>
  <si>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</si>
  <si>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0.9V </t>
    </r>
    <r>
      <rPr>
        <sz val="11"/>
        <rFont val="宋体"/>
        <family val="2"/>
      </rPr>
      <t>电源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</si>
  <si>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1.8V </t>
    </r>
    <r>
      <rPr>
        <sz val="11"/>
        <rFont val="宋体"/>
        <family val="2"/>
      </rPr>
      <t>电源（</t>
    </r>
    <r>
      <rPr>
        <sz val="11"/>
        <rFont val="Times New Roman"/>
        <family val="1"/>
      </rPr>
      <t>USB VDDIO_DEVICE</t>
    </r>
    <r>
      <rPr>
        <sz val="11"/>
        <rFont val="宋体"/>
        <family val="2"/>
      </rPr>
      <t>）</t>
    </r>
    <phoneticPr fontId="13" type="noConversion"/>
  </si>
  <si>
    <r>
      <t>USB Port VBUS</t>
    </r>
    <r>
      <rPr>
        <sz val="11"/>
        <rFont val="宋体"/>
        <family val="2"/>
      </rPr>
      <t>。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</si>
  <si>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</t>
    </r>
    <phoneticPr fontId="13" type="noConversion"/>
  </si>
  <si>
    <r>
      <t>USB2.0</t>
    </r>
    <r>
      <rPr>
        <sz val="11"/>
        <rFont val="宋体"/>
        <family val="2"/>
      </rPr>
      <t>端口的数据信号正极。</t>
    </r>
    <phoneticPr fontId="13" type="noConversion"/>
  </si>
  <si>
    <r>
      <t>USB2.0</t>
    </r>
    <r>
      <rPr>
        <sz val="11"/>
        <rFont val="宋体"/>
        <family val="2"/>
      </rPr>
      <t>端口的数据信号负极。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</si>
  <si>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200Ω</t>
    </r>
    <r>
      <rPr>
        <sz val="11"/>
        <rFont val="宋体"/>
        <family val="2"/>
      </rPr>
      <t>电阻</t>
    </r>
    <r>
      <rPr>
        <sz val="11"/>
        <rFont val="Times New Roman"/>
        <family val="1"/>
      </rPr>
      <t>(±1%)</t>
    </r>
    <phoneticPr fontId="13" type="noConversion"/>
  </si>
  <si>
    <r>
      <t xml:space="preserve">E-PHY </t>
    </r>
    <r>
      <rPr>
        <sz val="11"/>
        <rFont val="宋体"/>
        <family val="2"/>
      </rPr>
      <t>信号</t>
    </r>
    <phoneticPr fontId="13" type="noConversion"/>
  </si>
  <si>
    <r>
      <t xml:space="preserve">E-PHY </t>
    </r>
    <r>
      <rPr>
        <sz val="11"/>
        <rFont val="宋体"/>
        <family val="3"/>
        <charset val="134"/>
      </rPr>
      <t>信号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</si>
  <si>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3.3V </t>
    </r>
    <r>
      <rPr>
        <sz val="11"/>
        <rFont val="宋体"/>
        <family val="2"/>
      </rPr>
      <t>电源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</si>
  <si>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6KΩ</t>
    </r>
    <r>
      <rPr>
        <sz val="11"/>
        <rFont val="宋体"/>
        <family val="2"/>
      </rPr>
      <t>电阻</t>
    </r>
    <r>
      <rPr>
        <sz val="11"/>
        <rFont val="Times New Roman"/>
        <family val="1"/>
      </rPr>
      <t>(±1%)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</si>
  <si>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1.8V</t>
    </r>
    <r>
      <rPr>
        <sz val="11"/>
        <rFont val="宋体"/>
        <family val="2"/>
      </rPr>
      <t>电源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</si>
  <si>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 xml:space="preserve">0.9V </t>
    </r>
    <r>
      <rPr>
        <sz val="11"/>
        <rFont val="宋体"/>
        <family val="2"/>
      </rPr>
      <t>电源</t>
    </r>
    <phoneticPr fontId="13" type="noConversion"/>
  </si>
  <si>
    <r>
      <rPr>
        <sz val="11"/>
        <rFont val="宋体"/>
        <family val="2"/>
      </rPr>
      <t>外接</t>
    </r>
    <r>
      <rPr>
        <sz val="11"/>
        <rFont val="Times New Roman"/>
        <family val="1"/>
      </rPr>
      <t>0.9V</t>
    </r>
    <r>
      <rPr>
        <sz val="11"/>
        <rFont val="宋体"/>
        <family val="2"/>
      </rPr>
      <t>电源</t>
    </r>
    <phoneticPr fontId="13" type="noConversion"/>
  </si>
  <si>
    <r>
      <t>3.3V SDIO0</t>
    </r>
    <r>
      <rPr>
        <sz val="11"/>
        <rFont val="宋体"/>
        <family val="2"/>
      </rPr>
      <t>命令。</t>
    </r>
  </si>
  <si>
    <r>
      <t>3.3V SDIO0</t>
    </r>
    <r>
      <rPr>
        <sz val="11"/>
        <rFont val="宋体"/>
        <family val="2"/>
      </rPr>
      <t>电源使能控制信号，默认低电平有效，极性可以配置。</t>
    </r>
  </si>
  <si>
    <t>IO/CORE电源已上电，复位撤销之前</t>
    <phoneticPr fontId="13" type="noConversion"/>
  </si>
  <si>
    <t>FH8856v310
Pin_num</t>
    <phoneticPr fontId="17" type="noConversion"/>
  </si>
  <si>
    <t>FH8856v310
（内置DDR）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</si>
</sst>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name val="新細明體"/>
      <family val="1"/>
      <charset val="136"/>
    </font>
    <font>
      <sz val="9"/>
      <name val="微软雅黑"/>
      <family val="2"/>
      <charset val="134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9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0"/>
      <name val="Arial"/>
      <family val="2"/>
    </font>
    <font>
      <sz val="10"/>
      <color rgb="FFFF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26"/>
      <color theme="1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9" tint="-0.249977111117893"/>
      <name val="微软雅黑"/>
      <family val="2"/>
      <charset val="134"/>
    </font>
    <font>
      <b/>
      <sz val="9"/>
      <color indexed="18"/>
      <name val="微软雅黑"/>
      <family val="2"/>
      <charset val="134"/>
    </font>
    <font>
      <b/>
      <sz val="8"/>
      <color indexed="18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indexed="18"/>
      <name val="微软雅黑"/>
      <family val="2"/>
      <charset val="134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宋体"/>
      <family val="2"/>
    </font>
    <font>
      <sz val="11"/>
      <name val="宋体"/>
      <family val="3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7B2A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C71"/>
        <bgColor indexed="64"/>
      </patternFill>
    </fill>
    <fill>
      <patternFill patternType="solid">
        <fgColor rgb="FFE4D1FF"/>
        <bgColor indexed="64"/>
      </patternFill>
    </fill>
    <fill>
      <patternFill patternType="solid">
        <fgColor rgb="FFEBEEA6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1CD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DB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9BD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34"/>
      </patternFill>
    </fill>
    <fill>
      <patternFill patternType="solid">
        <fgColor rgb="FFFFFF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000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/>
      <right/>
      <top/>
      <bottom/>
      <diagonal style="medium">
        <color auto="1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14" fillId="0" borderId="0"/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1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22" fillId="0" borderId="0" applyNumberFormat="0" applyFill="0" applyBorder="0" applyAlignment="0" applyProtection="0">
      <alignment horizontal="center" vertical="center" wrapText="1"/>
    </xf>
    <xf numFmtId="0" fontId="6" fillId="0" borderId="3" applyNumberFormat="0" applyFont="0" applyFill="0" applyAlignment="0" applyProtection="0">
      <alignment horizontal="center" vertical="center" wrapText="1"/>
    </xf>
    <xf numFmtId="0" fontId="21" fillId="0" borderId="0" applyNumberFormat="0" applyFill="0" applyBorder="0" applyAlignment="0" applyProtection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3" applyNumberFormat="0" applyFont="0" applyFill="0" applyAlignment="0" applyProtection="0">
      <alignment horizontal="center" vertical="center" wrapText="1"/>
    </xf>
  </cellStyleXfs>
  <cellXfs count="152">
    <xf numFmtId="0" fontId="0" fillId="0" borderId="0" xfId="0"/>
    <xf numFmtId="0" fontId="12" fillId="0" borderId="0" xfId="0" applyFont="1" applyFill="1" applyBorder="1"/>
    <xf numFmtId="0" fontId="12" fillId="6" borderId="0" xfId="1" applyFont="1" applyFill="1" applyBorder="1" applyAlignment="1">
      <alignment horizontal="left" vertical="center"/>
    </xf>
    <xf numFmtId="0" fontId="15" fillId="7" borderId="0" xfId="1" applyFont="1" applyFill="1" applyBorder="1" applyAlignment="1">
      <alignment horizontal="left" vertical="center"/>
    </xf>
    <xf numFmtId="0" fontId="15" fillId="9" borderId="0" xfId="1" applyFont="1" applyFill="1" applyBorder="1" applyAlignment="1">
      <alignment horizontal="left" vertical="center"/>
    </xf>
    <xf numFmtId="0" fontId="15" fillId="13" borderId="0" xfId="1" applyFont="1" applyFill="1" applyBorder="1" applyAlignment="1">
      <alignment horizontal="left" vertical="center"/>
    </xf>
    <xf numFmtId="0" fontId="15" fillId="14" borderId="0" xfId="1" applyFont="1" applyFill="1" applyBorder="1" applyAlignment="1">
      <alignment horizontal="left" vertical="center"/>
    </xf>
    <xf numFmtId="0" fontId="12" fillId="16" borderId="0" xfId="1" applyFont="1" applyFill="1" applyBorder="1" applyAlignment="1">
      <alignment horizontal="left" vertical="center"/>
    </xf>
    <xf numFmtId="0" fontId="12" fillId="17" borderId="0" xfId="1" applyFont="1" applyFill="1" applyBorder="1" applyAlignment="1">
      <alignment horizontal="left" vertical="center"/>
    </xf>
    <xf numFmtId="0" fontId="12" fillId="19" borderId="0" xfId="0" applyFont="1" applyFill="1" applyBorder="1"/>
    <xf numFmtId="0" fontId="18" fillId="16" borderId="0" xfId="0" applyFont="1" applyFill="1" applyBorder="1" applyAlignment="1">
      <alignment horizontal="center" vertical="center" wrapText="1"/>
    </xf>
    <xf numFmtId="0" fontId="15" fillId="3" borderId="0" xfId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2" fillId="20" borderId="0" xfId="4" applyFont="1" applyFill="1" applyBorder="1" applyAlignment="1">
      <alignment horizontal="left" vertical="center" wrapText="1"/>
    </xf>
    <xf numFmtId="0" fontId="15" fillId="8" borderId="0" xfId="4" applyFont="1" applyFill="1" applyBorder="1" applyAlignment="1">
      <alignment horizontal="left" vertical="center"/>
    </xf>
    <xf numFmtId="0" fontId="12" fillId="10" borderId="0" xfId="4" applyFont="1" applyFill="1" applyBorder="1" applyAlignment="1">
      <alignment horizontal="left" vertical="center"/>
    </xf>
    <xf numFmtId="0" fontId="15" fillId="11" borderId="0" xfId="4" applyFont="1" applyFill="1" applyBorder="1" applyAlignment="1">
      <alignment horizontal="left" vertical="center"/>
    </xf>
    <xf numFmtId="0" fontId="15" fillId="12" borderId="0" xfId="4" applyFont="1" applyFill="1" applyBorder="1" applyAlignment="1">
      <alignment horizontal="left" vertical="center"/>
    </xf>
    <xf numFmtId="0" fontId="12" fillId="15" borderId="0" xfId="4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12" fillId="0" borderId="0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5" fillId="5" borderId="0" xfId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/>
    </xf>
    <xf numFmtId="0" fontId="4" fillId="0" borderId="0" xfId="16">
      <alignment vertical="center"/>
    </xf>
    <xf numFmtId="0" fontId="0" fillId="21" borderId="1" xfId="0" applyFill="1" applyBorder="1"/>
    <xf numFmtId="0" fontId="0" fillId="0" borderId="1" xfId="0" applyBorder="1"/>
    <xf numFmtId="0" fontId="0" fillId="12" borderId="1" xfId="0" applyFill="1" applyBorder="1"/>
    <xf numFmtId="0" fontId="0" fillId="29" borderId="1" xfId="0" applyFill="1" applyBorder="1"/>
    <xf numFmtId="0" fontId="0" fillId="6" borderId="1" xfId="0" applyFill="1" applyBorder="1"/>
    <xf numFmtId="0" fontId="0" fillId="0" borderId="0" xfId="0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24" fillId="32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33" borderId="10" xfId="0" applyFont="1" applyFill="1" applyBorder="1" applyAlignment="1">
      <alignment horizontal="center" vertical="center"/>
    </xf>
    <xf numFmtId="0" fontId="24" fillId="6" borderId="10" xfId="0" applyFont="1" applyFill="1" applyBorder="1" applyAlignment="1">
      <alignment horizontal="center" vertical="center"/>
    </xf>
    <xf numFmtId="0" fontId="24" fillId="21" borderId="10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21" borderId="7" xfId="0" applyFont="1" applyFill="1" applyBorder="1" applyAlignment="1">
      <alignment horizontal="center" vertical="center"/>
    </xf>
    <xf numFmtId="0" fontId="24" fillId="21" borderId="8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23" borderId="7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4" fillId="32" borderId="7" xfId="0" applyFont="1" applyFill="1" applyBorder="1" applyAlignment="1">
      <alignment horizontal="center" vertical="center"/>
    </xf>
    <xf numFmtId="0" fontId="0" fillId="31" borderId="0" xfId="0" applyFill="1"/>
    <xf numFmtId="0" fontId="0" fillId="23" borderId="1" xfId="0" applyFill="1" applyBorder="1"/>
    <xf numFmtId="0" fontId="24" fillId="12" borderId="7" xfId="0" applyFont="1" applyFill="1" applyBorder="1" applyAlignment="1">
      <alignment horizontal="center" vertical="center"/>
    </xf>
    <xf numFmtId="0" fontId="0" fillId="4" borderId="1" xfId="0" applyFill="1" applyBorder="1"/>
    <xf numFmtId="0" fontId="24" fillId="34" borderId="8" xfId="0" applyFont="1" applyFill="1" applyBorder="1" applyAlignment="1">
      <alignment horizontal="center" vertical="center"/>
    </xf>
    <xf numFmtId="0" fontId="0" fillId="34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24" fillId="29" borderId="5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21" borderId="5" xfId="0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left" vertical="center"/>
    </xf>
    <xf numFmtId="0" fontId="12" fillId="0" borderId="0" xfId="0" applyFont="1" applyBorder="1" applyAlignment="1">
      <alignment horizontal="left"/>
    </xf>
    <xf numFmtId="0" fontId="19" fillId="0" borderId="0" xfId="0" applyFont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/>
    </xf>
    <xf numFmtId="0" fontId="12" fillId="21" borderId="0" xfId="0" applyFont="1" applyFill="1" applyBorder="1" applyAlignment="1">
      <alignment horizontal="left"/>
    </xf>
    <xf numFmtId="0" fontId="12" fillId="18" borderId="0" xfId="0" applyFont="1" applyFill="1" applyBorder="1" applyAlignment="1">
      <alignment horizontal="left"/>
    </xf>
    <xf numFmtId="0" fontId="12" fillId="2" borderId="0" xfId="0" applyFont="1" applyFill="1" applyBorder="1"/>
    <xf numFmtId="0" fontId="24" fillId="0" borderId="10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0" fillId="0" borderId="0" xfId="0" applyAlignment="1">
      <alignment horizontal="center" textRotation="90"/>
    </xf>
    <xf numFmtId="0" fontId="0" fillId="31" borderId="0" xfId="0" applyFill="1" applyAlignment="1">
      <alignment horizontal="center" textRotation="90"/>
    </xf>
    <xf numFmtId="0" fontId="0" fillId="0" borderId="0" xfId="0" applyFont="1" applyAlignment="1">
      <alignment horizontal="center" vertical="top" textRotation="180"/>
    </xf>
    <xf numFmtId="0" fontId="0" fillId="31" borderId="0" xfId="0" applyFont="1" applyFill="1" applyAlignment="1">
      <alignment horizontal="center" vertical="top" textRotation="180"/>
    </xf>
    <xf numFmtId="0" fontId="0" fillId="0" borderId="0" xfId="0" applyAlignment="1">
      <alignment horizontal="left" vertical="center"/>
    </xf>
    <xf numFmtId="0" fontId="0" fillId="31" borderId="0" xfId="0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31" borderId="0" xfId="0" applyFill="1" applyAlignment="1">
      <alignment horizontal="right" vertical="center"/>
    </xf>
    <xf numFmtId="0" fontId="12" fillId="0" borderId="0" xfId="0" applyFont="1" applyBorder="1" applyAlignment="1">
      <alignment horizontal="center"/>
    </xf>
    <xf numFmtId="0" fontId="19" fillId="30" borderId="0" xfId="0" applyFont="1" applyFill="1" applyBorder="1" applyAlignment="1">
      <alignment horizontal="center" vertical="center" wrapText="1"/>
    </xf>
    <xf numFmtId="0" fontId="12" fillId="4" borderId="0" xfId="0" applyFont="1" applyFill="1" applyBorder="1"/>
    <xf numFmtId="0" fontId="15" fillId="28" borderId="0" xfId="1" applyFont="1" applyFill="1" applyBorder="1" applyAlignment="1">
      <alignment horizontal="left" vertical="center"/>
    </xf>
    <xf numFmtId="0" fontId="12" fillId="21" borderId="0" xfId="0" applyFont="1" applyFill="1" applyBorder="1"/>
    <xf numFmtId="0" fontId="12" fillId="18" borderId="0" xfId="0" applyFont="1" applyFill="1" applyBorder="1"/>
    <xf numFmtId="0" fontId="12" fillId="15" borderId="0" xfId="0" applyFont="1" applyFill="1" applyBorder="1"/>
    <xf numFmtId="0" fontId="0" fillId="6" borderId="0" xfId="0" applyFill="1" applyBorder="1"/>
    <xf numFmtId="0" fontId="18" fillId="35" borderId="0" xfId="1" applyFont="1" applyFill="1" applyBorder="1" applyAlignment="1">
      <alignment horizontal="left" vertical="center"/>
    </xf>
    <xf numFmtId="0" fontId="26" fillId="35" borderId="0" xfId="0" applyFont="1" applyFill="1" applyBorder="1"/>
    <xf numFmtId="0" fontId="15" fillId="0" borderId="0" xfId="1" applyFont="1" applyFill="1" applyBorder="1" applyAlignment="1">
      <alignment horizontal="left" vertical="center"/>
    </xf>
    <xf numFmtId="0" fontId="15" fillId="18" borderId="0" xfId="1" applyFont="1" applyFill="1" applyBorder="1" applyAlignment="1">
      <alignment horizontal="left" vertical="center"/>
    </xf>
    <xf numFmtId="0" fontId="28" fillId="0" borderId="0" xfId="18" applyFont="1" applyBorder="1">
      <alignment vertical="center"/>
    </xf>
    <xf numFmtId="0" fontId="26" fillId="25" borderId="0" xfId="0" applyFont="1" applyFill="1" applyBorder="1" applyAlignment="1">
      <alignment horizontal="center" wrapText="1"/>
    </xf>
    <xf numFmtId="0" fontId="12" fillId="22" borderId="0" xfId="2" applyFont="1" applyFill="1" applyBorder="1" applyAlignment="1">
      <alignment horizontal="left" vertical="center" wrapText="1"/>
    </xf>
    <xf numFmtId="0" fontId="12" fillId="22" borderId="0" xfId="11" applyFont="1" applyFill="1" applyBorder="1" applyAlignment="1">
      <alignment horizontal="left" vertical="center" wrapText="1"/>
    </xf>
    <xf numFmtId="0" fontId="29" fillId="22" borderId="0" xfId="0" applyFont="1" applyFill="1" applyBorder="1"/>
    <xf numFmtId="0" fontId="12" fillId="22" borderId="0" xfId="2" applyFont="1" applyFill="1" applyBorder="1" applyAlignment="1">
      <alignment horizontal="left" vertical="center"/>
    </xf>
    <xf numFmtId="0" fontId="12" fillId="22" borderId="0" xfId="0" applyFont="1" applyFill="1" applyBorder="1"/>
    <xf numFmtId="0" fontId="15" fillId="22" borderId="0" xfId="2" applyFont="1" applyFill="1" applyBorder="1" applyAlignment="1">
      <alignment horizontal="left" vertical="center"/>
    </xf>
    <xf numFmtId="0" fontId="15" fillId="22" borderId="0" xfId="2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/>
    </xf>
    <xf numFmtId="0" fontId="12" fillId="19" borderId="0" xfId="0" applyFont="1" applyFill="1" applyBorder="1" applyAlignment="1">
      <alignment vertical="center"/>
    </xf>
    <xf numFmtId="0" fontId="28" fillId="0" borderId="0" xfId="0" applyFont="1"/>
    <xf numFmtId="0" fontId="31" fillId="27" borderId="1" xfId="2" applyFont="1" applyFill="1" applyBorder="1" applyAlignment="1">
      <alignment horizontal="center" vertical="center" wrapText="1"/>
    </xf>
    <xf numFmtId="0" fontId="32" fillId="0" borderId="12" xfId="2" applyFont="1" applyFill="1" applyBorder="1" applyAlignment="1">
      <alignment horizontal="center" vertical="center"/>
    </xf>
    <xf numFmtId="0" fontId="27" fillId="0" borderId="12" xfId="2" applyFont="1" applyFill="1" applyBorder="1" applyAlignment="1">
      <alignment horizontal="left" vertical="center" wrapText="1"/>
    </xf>
    <xf numFmtId="0" fontId="32" fillId="25" borderId="12" xfId="1" applyFont="1" applyFill="1" applyBorder="1" applyAlignment="1">
      <alignment horizontal="left" vertical="center"/>
    </xf>
    <xf numFmtId="0" fontId="32" fillId="36" borderId="12" xfId="1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/>
    </xf>
    <xf numFmtId="0" fontId="27" fillId="26" borderId="1" xfId="0" applyFont="1" applyFill="1" applyBorder="1" applyAlignment="1">
      <alignment horizontal="center"/>
    </xf>
    <xf numFmtId="0" fontId="32" fillId="0" borderId="12" xfId="2" applyFont="1" applyFill="1" applyBorder="1" applyAlignment="1">
      <alignment horizontal="center" vertical="center" wrapText="1"/>
    </xf>
    <xf numFmtId="0" fontId="32" fillId="25" borderId="12" xfId="1" applyFont="1" applyFill="1" applyBorder="1" applyAlignment="1">
      <alignment horizontal="left" vertical="center" wrapText="1"/>
    </xf>
    <xf numFmtId="0" fontId="27" fillId="0" borderId="1" xfId="0" applyFont="1" applyBorder="1" applyAlignment="1">
      <alignment horizontal="center" wrapText="1"/>
    </xf>
    <xf numFmtId="0" fontId="28" fillId="0" borderId="0" xfId="0" applyFont="1" applyAlignment="1">
      <alignment wrapText="1"/>
    </xf>
    <xf numFmtId="0" fontId="33" fillId="27" borderId="1" xfId="2" applyFont="1" applyFill="1" applyBorder="1" applyAlignment="1">
      <alignment horizontal="center" vertical="center" wrapText="1"/>
    </xf>
    <xf numFmtId="0" fontId="31" fillId="24" borderId="1" xfId="2" applyFont="1" applyFill="1" applyBorder="1" applyAlignment="1">
      <alignment horizontal="center" vertical="center" wrapText="1"/>
    </xf>
    <xf numFmtId="0" fontId="27" fillId="24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4" fillId="0" borderId="0" xfId="0" applyFont="1"/>
    <xf numFmtId="0" fontId="35" fillId="0" borderId="17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35" fillId="0" borderId="18" xfId="0" applyFont="1" applyFill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/>
    <xf numFmtId="0" fontId="34" fillId="0" borderId="18" xfId="0" applyFont="1" applyBorder="1" applyAlignment="1">
      <alignment horizontal="left"/>
    </xf>
    <xf numFmtId="0" fontId="34" fillId="0" borderId="19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1" xfId="0" applyFont="1" applyBorder="1"/>
    <xf numFmtId="0" fontId="34" fillId="0" borderId="18" xfId="0" applyFont="1" applyBorder="1" applyAlignment="1">
      <alignment wrapText="1"/>
    </xf>
    <xf numFmtId="0" fontId="34" fillId="0" borderId="22" xfId="0" applyFont="1" applyFill="1" applyBorder="1"/>
    <xf numFmtId="0" fontId="34" fillId="0" borderId="20" xfId="0" applyFont="1" applyBorder="1"/>
    <xf numFmtId="0" fontId="34" fillId="0" borderId="21" xfId="0" applyFont="1" applyBorder="1"/>
    <xf numFmtId="0" fontId="25" fillId="0" borderId="0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31" fillId="27" borderId="1" xfId="2" applyFont="1" applyFill="1" applyBorder="1" applyAlignment="1">
      <alignment horizontal="center" vertical="center" wrapText="1"/>
    </xf>
    <xf numFmtId="0" fontId="28" fillId="0" borderId="1" xfId="0" applyFont="1" applyBorder="1" applyAlignment="1"/>
    <xf numFmtId="0" fontId="30" fillId="27" borderId="2" xfId="2" applyFont="1" applyFill="1" applyBorder="1" applyAlignment="1">
      <alignment horizontal="center" vertical="center" wrapText="1"/>
    </xf>
    <xf numFmtId="0" fontId="30" fillId="27" borderId="12" xfId="2" applyFont="1" applyFill="1" applyBorder="1" applyAlignment="1">
      <alignment horizontal="center" vertical="center" wrapText="1"/>
    </xf>
    <xf numFmtId="0" fontId="31" fillId="27" borderId="2" xfId="2" applyFont="1" applyFill="1" applyBorder="1" applyAlignment="1">
      <alignment horizontal="center" vertical="center" wrapText="1"/>
    </xf>
    <xf numFmtId="0" fontId="31" fillId="27" borderId="12" xfId="2" applyFont="1" applyFill="1" applyBorder="1" applyAlignment="1">
      <alignment horizontal="center" vertical="center" wrapText="1"/>
    </xf>
    <xf numFmtId="0" fontId="35" fillId="0" borderId="14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35" fillId="0" borderId="16" xfId="0" applyFont="1" applyBorder="1" applyAlignment="1">
      <alignment horizontal="center"/>
    </xf>
  </cellXfs>
  <cellStyles count="20">
    <cellStyle name="=C:\WINDOWS\SYSTEM32\COMMAND.COM" xfId="14"/>
    <cellStyle name="Border" xfId="12"/>
    <cellStyle name="Normal" xfId="10"/>
    <cellStyle name="Pin" xfId="13"/>
    <cellStyle name="Pin 2" xfId="19"/>
    <cellStyle name="常规" xfId="0" builtinId="0"/>
    <cellStyle name="常规 10" xfId="8"/>
    <cellStyle name="常规 2" xfId="15"/>
    <cellStyle name="常规 2 3 2 2 2" xfId="6"/>
    <cellStyle name="常规 2 3 2 2 2 6" xfId="18"/>
    <cellStyle name="常规 2 3 4" xfId="5"/>
    <cellStyle name="常规 2 3 4 7 2" xfId="3"/>
    <cellStyle name="常规 3" xfId="11"/>
    <cellStyle name="常规 3 20" xfId="2"/>
    <cellStyle name="常规 3 20 2" xfId="4"/>
    <cellStyle name="常规 3 20 2 2" xfId="9"/>
    <cellStyle name="常规 3 20 2 4" xfId="17"/>
    <cellStyle name="常规 3 20 3" xfId="7"/>
    <cellStyle name="常规 4" xfId="16"/>
    <cellStyle name="一般_Hard-Core Components" xfId="1"/>
  </cellStyles>
  <dxfs count="2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20000"/>
      <color rgb="FFAA09BB"/>
      <color rgb="FFFF25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190218</xdr:rowOff>
    </xdr:to>
    <xdr:sp macro="" textlink="">
      <xdr:nvSpPr>
        <xdr:cNvPr id="2" name="Text Box 2"/>
        <xdr:cNvSpPr txBox="1"/>
      </xdr:nvSpPr>
      <xdr:spPr>
        <a:xfrm>
          <a:off x="685800" y="2162175"/>
          <a:ext cx="104775" cy="784129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66</xdr:row>
      <xdr:rowOff>32846</xdr:rowOff>
    </xdr:to>
    <xdr:sp macro="" textlink="">
      <xdr:nvSpPr>
        <xdr:cNvPr id="84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66</xdr:row>
      <xdr:rowOff>42373</xdr:rowOff>
    </xdr:to>
    <xdr:sp macro="" textlink="">
      <xdr:nvSpPr>
        <xdr:cNvPr id="85" name="Text Box 2"/>
        <xdr:cNvSpPr txBox="1"/>
      </xdr:nvSpPr>
      <xdr:spPr>
        <a:xfrm>
          <a:off x="685800" y="2562225"/>
          <a:ext cx="114300" cy="44410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86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0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0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0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0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0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0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0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0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0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0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1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1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1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1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1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1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1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1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1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1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2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2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2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2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2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2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2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2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2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2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3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3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3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3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3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3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3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3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3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3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4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4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4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4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4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4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4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4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4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4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5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5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5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5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5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5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5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5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5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5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6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6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6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6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6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6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6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6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168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6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7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7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7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7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7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7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7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7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7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7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8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8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8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8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8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8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8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8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8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8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9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9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9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19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9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9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9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9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9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19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0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0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0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0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0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0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0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0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0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0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1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1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1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1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1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1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1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1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1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1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2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2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2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2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2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2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2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2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2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2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3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3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3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3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3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3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3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3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3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3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4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4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4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4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4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4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4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4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248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4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5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5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5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5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5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5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5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5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5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5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6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6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6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6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6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6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6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6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6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6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7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7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7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7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7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7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7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7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7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79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80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81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82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83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84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85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8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8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8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8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9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9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9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9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9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9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29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9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9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29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0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0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0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03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04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0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0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0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0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09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1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1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1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1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1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1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1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1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1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1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2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2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2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2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2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2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2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327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190218</xdr:rowOff>
    </xdr:to>
    <xdr:sp macro="" textlink="">
      <xdr:nvSpPr>
        <xdr:cNvPr id="328" name="Text Box 2"/>
        <xdr:cNvSpPr txBox="1"/>
      </xdr:nvSpPr>
      <xdr:spPr>
        <a:xfrm>
          <a:off x="685800" y="2162175"/>
          <a:ext cx="104775" cy="784129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2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3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3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3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3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3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3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3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3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3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3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4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4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4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4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4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4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4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4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4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4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5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5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5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5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5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5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5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5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5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5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6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6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6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6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6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6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6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6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6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6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7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7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7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7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7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7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7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7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7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7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8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8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8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8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8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8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8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8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8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8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9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9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9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9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9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9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9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39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9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39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0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0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0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0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0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0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0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0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0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0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66</xdr:row>
      <xdr:rowOff>32846</xdr:rowOff>
    </xdr:to>
    <xdr:sp macro="" textlink="">
      <xdr:nvSpPr>
        <xdr:cNvPr id="410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66</xdr:row>
      <xdr:rowOff>42373</xdr:rowOff>
    </xdr:to>
    <xdr:sp macro="" textlink="">
      <xdr:nvSpPr>
        <xdr:cNvPr id="411" name="Text Box 2"/>
        <xdr:cNvSpPr txBox="1"/>
      </xdr:nvSpPr>
      <xdr:spPr>
        <a:xfrm>
          <a:off x="685800" y="2562225"/>
          <a:ext cx="114300" cy="44410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412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1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1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1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1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1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1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1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2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2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2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2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2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2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2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2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2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2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3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3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3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3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3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3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3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3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3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3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4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4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4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4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4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4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4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4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4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4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5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5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5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5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5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5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5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5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5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5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6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6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6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6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6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6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6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6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6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6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7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7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7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7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7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7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7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7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7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7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8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8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8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8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8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8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8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8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8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8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9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9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9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9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494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9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49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9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9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49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0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0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0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0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0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0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0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0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0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0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1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1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1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1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1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1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1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1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1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1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2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2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2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2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2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2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2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2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2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2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3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3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3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3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3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3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3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3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3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3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4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4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4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4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4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4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4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4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4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4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5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5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5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5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5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5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5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5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5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5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6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6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6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6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6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6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6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6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6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6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574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7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7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8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8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8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8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8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8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8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8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8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8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9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9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9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93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94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9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9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9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59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599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0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0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0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0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0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0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0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0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0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0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1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1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1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1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1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1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1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1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1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1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2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2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2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2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2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2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2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2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2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29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30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31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32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33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34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35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3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3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3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3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4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4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4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4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4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4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4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4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4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4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5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5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5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653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190218</xdr:rowOff>
    </xdr:to>
    <xdr:sp macro="" textlink="">
      <xdr:nvSpPr>
        <xdr:cNvPr id="654" name="Text Box 2"/>
        <xdr:cNvSpPr txBox="1"/>
      </xdr:nvSpPr>
      <xdr:spPr>
        <a:xfrm>
          <a:off x="685800" y="2162175"/>
          <a:ext cx="104775" cy="784129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5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5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5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5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5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6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6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6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6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6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6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6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6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6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6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7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7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7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7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7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7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7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7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7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7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8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8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8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8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8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8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8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8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8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8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9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9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9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69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9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9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9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9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9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69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0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0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0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0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0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0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0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0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0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0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1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1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1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1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1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1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1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1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1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1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2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2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2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2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2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2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2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2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2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2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3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3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3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3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3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3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66</xdr:row>
      <xdr:rowOff>32846</xdr:rowOff>
    </xdr:to>
    <xdr:sp macro="" textlink="">
      <xdr:nvSpPr>
        <xdr:cNvPr id="736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66</xdr:row>
      <xdr:rowOff>42373</xdr:rowOff>
    </xdr:to>
    <xdr:sp macro="" textlink="">
      <xdr:nvSpPr>
        <xdr:cNvPr id="737" name="Text Box 2"/>
        <xdr:cNvSpPr txBox="1"/>
      </xdr:nvSpPr>
      <xdr:spPr>
        <a:xfrm>
          <a:off x="685800" y="2562225"/>
          <a:ext cx="114300" cy="44410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738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3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4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4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4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4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4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4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4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4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4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4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5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5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5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5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5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5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5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5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5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5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6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6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6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6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6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6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6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6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6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6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7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7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7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7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7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7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7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7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7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7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8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8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8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8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8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8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8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8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8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8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9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9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9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9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9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79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9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9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9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79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0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0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0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0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0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0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0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0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0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0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1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1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1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1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1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1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1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1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1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1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820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2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2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2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2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2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2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2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2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2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3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3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3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3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3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3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3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3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3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3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40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41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42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43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44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45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46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47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48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49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50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51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52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53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54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55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56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57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58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59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60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61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62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63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64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65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66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67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68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69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70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71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72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73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74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75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76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77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78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79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80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8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82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83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84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85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86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87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88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89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90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91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92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893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94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95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96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97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98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899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900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01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0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0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0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0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0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0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0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0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1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1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1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1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1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1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1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1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1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19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20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21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22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23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24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25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26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27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28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29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30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31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32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33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34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35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36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37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38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39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40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41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42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43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44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45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46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47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48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49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50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51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52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53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54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55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56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57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58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59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60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61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62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63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64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65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66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67" name="Text Box 1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68" name="Text Box 2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69" name="Text Box 3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70" name="Text Box 4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71" name="Text Box 5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104775</xdr:colOff>
      <xdr:row>67</xdr:row>
      <xdr:rowOff>184897</xdr:rowOff>
    </xdr:to>
    <xdr:sp macro="" textlink="">
      <xdr:nvSpPr>
        <xdr:cNvPr id="972" name="Text Box 6"/>
        <xdr:cNvSpPr txBox="1"/>
      </xdr:nvSpPr>
      <xdr:spPr>
        <a:xfrm>
          <a:off x="685800" y="1895475"/>
          <a:ext cx="104775" cy="7788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73" name="Text Box 1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74" name="Text Box 2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75" name="Text Box 3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76" name="Text Box 4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77" name="Text Box 5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114300</xdr:colOff>
      <xdr:row>67</xdr:row>
      <xdr:rowOff>195661</xdr:rowOff>
    </xdr:to>
    <xdr:sp macro="" textlink="">
      <xdr:nvSpPr>
        <xdr:cNvPr id="978" name="Text Box 6"/>
        <xdr:cNvSpPr txBox="1"/>
      </xdr:nvSpPr>
      <xdr:spPr>
        <a:xfrm>
          <a:off x="685800" y="1895475"/>
          <a:ext cx="114300" cy="789574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66</xdr:row>
      <xdr:rowOff>74437</xdr:rowOff>
    </xdr:to>
    <xdr:sp macro="" textlink="">
      <xdr:nvSpPr>
        <xdr:cNvPr id="979" name="Text Box 2436"/>
        <xdr:cNvSpPr txBox="1"/>
      </xdr:nvSpPr>
      <xdr:spPr>
        <a:xfrm>
          <a:off x="685800" y="2809875"/>
          <a:ext cx="76200" cy="477848"/>
        </a:xfrm>
        <a:prstGeom prst="rect">
          <a:avLst/>
        </a:prstGeom>
        <a:noFill/>
        <a:ln w="9525">
          <a:noFill/>
        </a:ln>
      </xdr:spPr>
    </xdr:sp>
    <xdr:clientData/>
  </xdr:twoCellAnchor>
  <xdr:oneCellAnchor>
    <xdr:from>
      <xdr:col>4</xdr:col>
      <xdr:colOff>0</xdr:colOff>
      <xdr:row>64</xdr:row>
      <xdr:rowOff>0</xdr:rowOff>
    </xdr:from>
    <xdr:ext cx="104775" cy="784128"/>
    <xdr:sp macro="" textlink="">
      <xdr:nvSpPr>
        <xdr:cNvPr id="980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8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8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8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8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8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8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8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8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8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9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9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9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9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9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99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9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9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9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99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0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0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0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0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0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0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0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0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0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0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1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1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1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1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1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1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1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1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1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1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2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2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2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2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2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2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2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2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2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2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3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3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3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3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3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3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3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3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3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3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4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4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4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4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4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4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4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4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4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4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5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5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5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5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5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5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5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5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5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5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6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6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434577"/>
    <xdr:sp macro="" textlink="">
      <xdr:nvSpPr>
        <xdr:cNvPr id="1062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444103"/>
    <xdr:sp macro="" textlink="">
      <xdr:nvSpPr>
        <xdr:cNvPr id="1063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064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6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6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6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6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6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7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7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7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7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7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7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7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7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7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7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8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8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8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8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8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8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8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8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8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8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9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9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9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9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9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9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9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09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9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09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0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0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0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0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0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0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0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0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0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0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1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1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1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1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1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1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1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1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1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1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2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2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2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2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2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2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2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2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2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2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3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3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3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3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3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3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3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3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3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3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4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4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4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4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4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4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146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4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4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4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5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5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5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5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5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5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5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5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5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5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6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6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6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6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6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6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6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6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6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6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7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7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7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7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7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7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7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7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7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7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8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8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8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8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8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8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8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8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8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8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9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9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9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9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9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19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9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9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9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19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0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0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0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0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0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0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0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0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0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0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1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1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1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1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1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1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1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1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1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1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226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2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2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3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3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3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3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3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3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3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3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3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3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4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4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4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4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4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4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4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4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4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4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5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5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5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5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5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5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5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5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5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5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6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6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6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6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6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6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6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6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6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6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7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7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7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7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7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7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7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7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7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7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8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8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8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8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8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8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8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8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8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8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9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9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9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9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9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9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9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9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29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29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0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0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0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0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0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305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84128"/>
    <xdr:sp macro="" textlink="">
      <xdr:nvSpPr>
        <xdr:cNvPr id="1306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0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0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0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1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1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1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1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1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1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1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1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1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1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2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2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2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2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2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2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2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2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2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2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3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3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3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3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3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3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3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3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3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3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4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4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4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4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4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4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4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4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4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4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5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5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5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5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5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5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5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5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5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5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6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6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6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6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6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6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6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6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6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6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7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7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7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7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7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7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7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7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7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7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8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8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8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8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8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8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8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8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434577"/>
    <xdr:sp macro="" textlink="">
      <xdr:nvSpPr>
        <xdr:cNvPr id="1388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444103"/>
    <xdr:sp macro="" textlink="">
      <xdr:nvSpPr>
        <xdr:cNvPr id="1389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390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9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9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9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39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9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9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9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9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39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0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0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0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0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0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0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0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0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0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0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1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1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1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1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1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1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1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1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1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1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2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2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2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2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2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2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2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2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2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2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3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3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3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3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3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3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3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3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3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3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4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4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4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4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4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4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4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4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4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4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5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5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5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5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5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5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5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5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5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5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6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6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6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6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6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6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6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6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6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6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7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7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472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7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7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7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7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7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7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7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8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8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8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8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8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8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8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8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8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8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9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9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9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9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9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9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9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49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9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49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0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0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0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0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0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0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0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0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0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0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1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1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1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1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1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1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1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1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1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1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2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2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2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2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2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2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2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2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2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2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3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3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3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3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3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3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3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3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3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3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4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4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4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4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4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4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4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4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4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4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5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5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552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5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5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5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5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5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5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5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6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6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6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6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6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6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6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6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6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6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7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7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7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7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7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7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7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7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7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7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8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8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8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8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8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8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8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8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8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8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9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9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9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9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59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9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9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9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9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59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0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0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0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0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0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0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0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0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0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0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1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1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1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1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1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1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1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1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1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1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2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2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2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2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2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2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2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2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2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2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3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631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84128"/>
    <xdr:sp macro="" textlink="">
      <xdr:nvSpPr>
        <xdr:cNvPr id="1632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3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3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3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3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3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3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3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4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4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4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4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4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4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4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4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4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4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5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5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5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5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5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5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5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5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5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5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6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6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6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6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6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6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6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6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6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6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7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7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7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7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7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7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7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7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7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7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8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8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8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8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8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8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8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8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8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8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9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9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9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9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9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69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9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9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9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69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0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0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0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0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0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0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0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0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0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0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1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1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1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1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434577"/>
    <xdr:sp macro="" textlink="">
      <xdr:nvSpPr>
        <xdr:cNvPr id="1714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444103"/>
    <xdr:sp macro="" textlink="">
      <xdr:nvSpPr>
        <xdr:cNvPr id="1715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716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1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1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1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2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2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2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2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2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2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2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2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2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2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3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3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3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3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3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3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3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3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3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3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4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4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4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4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4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4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4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4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4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4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5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5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5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5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5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5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5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5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5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5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6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6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6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6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6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6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6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6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6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6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7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7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7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7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7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7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7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7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7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7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8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8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8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8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8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8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8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8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8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8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9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9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9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9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9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9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9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79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798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79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0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0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0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0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0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0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0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0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0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0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1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1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1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1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1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1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1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1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1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1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2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2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2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2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2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2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2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2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2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2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3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3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3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3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3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3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3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3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3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3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4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4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4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4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4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4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4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4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4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4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5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5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5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5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5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5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5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5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5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5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6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6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6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6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6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6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6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6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6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6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7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7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7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7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7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7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7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7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878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7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8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8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8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8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8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8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8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8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8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8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9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9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9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9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9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9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89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9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9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89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0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0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0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0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0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0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0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0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0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0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1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1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1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1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1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1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1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1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1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1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2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2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2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2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2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2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2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2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2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2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3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3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3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3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3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3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3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3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3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3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4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4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4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4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4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4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4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4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4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4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5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5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5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5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5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5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5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1957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84128"/>
    <xdr:sp macro="" textlink="">
      <xdr:nvSpPr>
        <xdr:cNvPr id="1958" name="Text Box 2"/>
        <xdr:cNvSpPr txBox="1"/>
      </xdr:nvSpPr>
      <xdr:spPr>
        <a:xfrm>
          <a:off x="685800" y="2162175"/>
          <a:ext cx="104775" cy="784128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5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6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6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6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6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6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6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6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6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6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6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7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7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7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7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7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7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7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7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7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7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8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8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8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8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8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8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8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8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8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8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9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9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9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9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9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9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9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199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9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199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0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0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0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0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0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0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0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0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0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0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1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1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1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1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1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1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1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1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1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1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2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2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2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2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2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2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2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2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2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2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3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3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3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3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3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3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3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3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3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3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434577"/>
    <xdr:sp macro="" textlink="">
      <xdr:nvSpPr>
        <xdr:cNvPr id="2040" name="Text Box 3"/>
        <xdr:cNvSpPr txBox="1"/>
      </xdr:nvSpPr>
      <xdr:spPr>
        <a:xfrm>
          <a:off x="685800" y="2781300"/>
          <a:ext cx="104775" cy="434577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444103"/>
    <xdr:sp macro="" textlink="">
      <xdr:nvSpPr>
        <xdr:cNvPr id="2041" name="Text Box 2"/>
        <xdr:cNvSpPr txBox="1"/>
      </xdr:nvSpPr>
      <xdr:spPr>
        <a:xfrm>
          <a:off x="685800" y="2562225"/>
          <a:ext cx="114300" cy="44410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2042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4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4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4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4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4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4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4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5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5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5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5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5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5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5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5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5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5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6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6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6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6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6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6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6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6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6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6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7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7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7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7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7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7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7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7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7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7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8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8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8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8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8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8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8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8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8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8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9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9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9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09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9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9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9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9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9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09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0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0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0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0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0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0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0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0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0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0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1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1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1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1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1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1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1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1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1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1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2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2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2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2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2124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2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2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2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2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2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3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3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3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3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3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3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3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3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3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3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4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4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4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4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44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45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46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47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48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49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50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51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52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53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54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55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56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57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58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59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60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61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62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63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64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65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66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67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68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69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70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71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72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73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74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75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76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77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78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79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80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81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82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83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84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8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86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87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88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89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90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91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92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93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94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95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96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197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98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199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0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1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2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3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2204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05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0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1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1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1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1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1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1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1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1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1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1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2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2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22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23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24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25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26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27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28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29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30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31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32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33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34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35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36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37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38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39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40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41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42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43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44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45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46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47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48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49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50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51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52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53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54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55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56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57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58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59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60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61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62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63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64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65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66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67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68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69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70" name="Text Box 6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71" name="Text Box 1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72" name="Text Box 2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73" name="Text Box 3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74" name="Text Box 4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75" name="Text Box 5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04775" cy="778809"/>
    <xdr:sp macro="" textlink="">
      <xdr:nvSpPr>
        <xdr:cNvPr id="2276" name="Text Box 6"/>
        <xdr:cNvSpPr txBox="1"/>
      </xdr:nvSpPr>
      <xdr:spPr>
        <a:xfrm>
          <a:off x="685800" y="1895475"/>
          <a:ext cx="104775" cy="778809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77" name="Text Box 1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78" name="Text Box 2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79" name="Text Box 3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80" name="Text Box 4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114300" cy="789573"/>
    <xdr:sp macro="" textlink="">
      <xdr:nvSpPr>
        <xdr:cNvPr id="2281" name="Text Box 5"/>
        <xdr:cNvSpPr txBox="1"/>
      </xdr:nvSpPr>
      <xdr:spPr>
        <a:xfrm>
          <a:off x="685800" y="1895475"/>
          <a:ext cx="114300" cy="789573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64</xdr:row>
      <xdr:rowOff>0</xdr:rowOff>
    </xdr:from>
    <xdr:ext cx="76200" cy="477849"/>
    <xdr:sp macro="" textlink="">
      <xdr:nvSpPr>
        <xdr:cNvPr id="2283" name="Text Box 2436"/>
        <xdr:cNvSpPr txBox="1"/>
      </xdr:nvSpPr>
      <xdr:spPr>
        <a:xfrm>
          <a:off x="685800" y="2809875"/>
          <a:ext cx="76200" cy="477849"/>
        </a:xfrm>
        <a:prstGeom prst="rect">
          <a:avLst/>
        </a:prstGeom>
        <a:noFill/>
        <a:ln w="9525">
          <a:noFill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VN\HL\Doc\3SoC\Architecture\HL%20PIN_D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N_MUX"/>
      <sheetName val="DFT_PIN_MUX"/>
      <sheetName val="BGA"/>
      <sheetName val="QFN88"/>
      <sheetName val="IO_STATUS"/>
      <sheetName val="更新记录"/>
      <sheetName val="temp_file"/>
    </sheetNames>
    <sheetDataSet>
      <sheetData sheetId="0">
        <row r="6">
          <cell r="K6" t="str">
            <v>RESETN</v>
          </cell>
        </row>
        <row r="8">
          <cell r="K8" t="str">
            <v>CLK_IN</v>
          </cell>
        </row>
        <row r="9">
          <cell r="K9" t="str">
            <v>CLK_OUT</v>
          </cell>
        </row>
        <row r="10">
          <cell r="K10" t="str">
            <v>GPIO30</v>
          </cell>
        </row>
        <row r="11">
          <cell r="K11" t="str">
            <v>GPIO31</v>
          </cell>
        </row>
        <row r="12">
          <cell r="K12" t="str">
            <v>GPIO32</v>
          </cell>
        </row>
        <row r="13">
          <cell r="K13" t="str">
            <v>UART0_TX</v>
          </cell>
        </row>
        <row r="14">
          <cell r="K14" t="str">
            <v>UART0_RX</v>
          </cell>
        </row>
        <row r="15">
          <cell r="L15" t="str">
            <v>GPIO35</v>
          </cell>
        </row>
        <row r="16">
          <cell r="L16" t="str">
            <v>GPIO36</v>
          </cell>
        </row>
        <row r="17">
          <cell r="L17" t="str">
            <v>GPIO12</v>
          </cell>
        </row>
        <row r="18">
          <cell r="K18" t="str">
            <v>GPIO13</v>
          </cell>
        </row>
        <row r="20">
          <cell r="L20" t="str">
            <v>GPIO39</v>
          </cell>
        </row>
        <row r="21">
          <cell r="L21" t="str">
            <v>GPIO40</v>
          </cell>
        </row>
        <row r="22">
          <cell r="L22" t="str">
            <v>GPIO37</v>
          </cell>
        </row>
        <row r="23">
          <cell r="L23" t="str">
            <v>GPIO38</v>
          </cell>
        </row>
        <row r="24">
          <cell r="L24" t="str">
            <v>GPIO41</v>
          </cell>
        </row>
        <row r="25">
          <cell r="L25" t="str">
            <v>GPIO42</v>
          </cell>
        </row>
        <row r="26">
          <cell r="L26" t="str">
            <v>GPIO47</v>
          </cell>
        </row>
        <row r="27">
          <cell r="L27" t="str">
            <v>GPIO43</v>
          </cell>
        </row>
        <row r="28">
          <cell r="L28" t="str">
            <v>GPIO44</v>
          </cell>
        </row>
        <row r="48">
          <cell r="K48" t="str">
            <v>ARM_JTAG_TRSTN</v>
          </cell>
        </row>
        <row r="49">
          <cell r="K49" t="str">
            <v>ARM_JTAG_TDO</v>
          </cell>
        </row>
        <row r="50">
          <cell r="K50" t="str">
            <v>ARM_JTAG_TDI</v>
          </cell>
        </row>
        <row r="51">
          <cell r="K51" t="str">
            <v>ARM_JTAG_TCK</v>
          </cell>
        </row>
        <row r="52">
          <cell r="K52" t="str">
            <v>ARM_JTAG_TMS</v>
          </cell>
        </row>
        <row r="53">
          <cell r="K53" t="str">
            <v>SSI0_CLK</v>
          </cell>
        </row>
        <row r="54">
          <cell r="K54" t="str">
            <v>SSI0_CSN_0</v>
          </cell>
        </row>
        <row r="55">
          <cell r="K55" t="str">
            <v>SSI0_TXD(SSI0_D0)</v>
          </cell>
        </row>
        <row r="56">
          <cell r="K56" t="str">
            <v>SSI0_RXD(SSI0_D1)</v>
          </cell>
        </row>
        <row r="57">
          <cell r="K57" t="str">
            <v>SSI0_D2</v>
          </cell>
        </row>
        <row r="58">
          <cell r="K58" t="str">
            <v>SSI0_D3</v>
          </cell>
        </row>
        <row r="63">
          <cell r="K63" t="str">
            <v>SD0_CD</v>
          </cell>
        </row>
        <row r="64">
          <cell r="K64" t="str">
            <v>SD0_CLK</v>
          </cell>
        </row>
        <row r="65">
          <cell r="K65" t="str">
            <v>SD0_CMD_RSP</v>
          </cell>
        </row>
        <row r="66">
          <cell r="K66" t="str">
            <v>SD0_DATA_0</v>
          </cell>
        </row>
        <row r="67">
          <cell r="K67" t="str">
            <v>SD0_DATA_1</v>
          </cell>
        </row>
        <row r="68">
          <cell r="K68" t="str">
            <v>SD0_DATA_2</v>
          </cell>
        </row>
        <row r="69">
          <cell r="K69" t="str">
            <v>SD0_DATA_3</v>
          </cell>
        </row>
        <row r="70">
          <cell r="L70" t="str">
            <v>GPIO26</v>
          </cell>
        </row>
        <row r="71">
          <cell r="L71" t="str">
            <v>GPIO27</v>
          </cell>
        </row>
        <row r="74">
          <cell r="K74" t="str">
            <v>GPIO28</v>
          </cell>
        </row>
        <row r="75">
          <cell r="K75" t="str">
            <v>GPIO29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Views>
    <sheetView tabSelected="1" zoomScale="85" zoomScaleNormal="85" workbookViewId="0">
      <pane xSplit="4" ySplit="1" topLeftCell="E2" activePane="bottomRight" state="frozen"/>
      <selection activeCell="C1" sqref="C1"/>
      <selection pane="topRight" activeCell="I1" sqref="I1"/>
      <selection pane="bottomLeft" activeCell="C6" sqref="C6"/>
      <selection pane="bottomRight" activeCell="F34" sqref="F34"/>
    </sheetView>
  </sheetViews>
  <sheetFormatPr defaultColWidth="9" defaultRowHeight="16.5"/>
  <cols>
    <col min="1" max="1" width="14.625" style="24" hidden="1" customWidth="1"/>
    <col min="2" max="2" width="16.875" style="24" hidden="1" customWidth="1"/>
    <col min="3" max="3" width="13.75" style="81" customWidth="1"/>
    <col min="4" max="4" width="19.5" style="24" bestFit="1" customWidth="1"/>
    <col min="5" max="5" width="14.375" style="93" bestFit="1" customWidth="1"/>
    <col min="6" max="6" width="22.5" style="24" bestFit="1" customWidth="1"/>
    <col min="7" max="7" width="16.5" style="24" bestFit="1" customWidth="1"/>
    <col min="8" max="8" width="22.5" style="24" bestFit="1" customWidth="1"/>
    <col min="9" max="9" width="17.75" style="24" bestFit="1" customWidth="1"/>
    <col min="10" max="10" width="21.5" style="24" bestFit="1" customWidth="1"/>
    <col min="11" max="11" width="16.5" style="62" bestFit="1" customWidth="1"/>
    <col min="12" max="12" width="16.625" style="62" bestFit="1" customWidth="1"/>
    <col min="13" max="13" width="22.375" style="24" customWidth="1"/>
    <col min="14" max="14" width="23.625" style="24" customWidth="1"/>
    <col min="15" max="15" width="20.875" style="24" customWidth="1"/>
    <col min="16" max="16" width="16.875" style="24" bestFit="1" customWidth="1"/>
    <col min="17" max="17" width="33.875" style="24" customWidth="1"/>
    <col min="18" max="18" width="24.5" style="24" customWidth="1"/>
    <col min="19" max="19" width="19.625" style="24" customWidth="1"/>
    <col min="20" max="16384" width="9" style="24"/>
  </cols>
  <sheetData>
    <row r="1" spans="1:19" s="81" customFormat="1" ht="33">
      <c r="A1" s="94" t="s">
        <v>519</v>
      </c>
      <c r="B1" s="94" t="s">
        <v>520</v>
      </c>
      <c r="C1" s="10" t="s">
        <v>967</v>
      </c>
      <c r="D1" s="10" t="s">
        <v>194</v>
      </c>
      <c r="E1" s="10" t="s">
        <v>703</v>
      </c>
      <c r="F1" s="10" t="s">
        <v>193</v>
      </c>
      <c r="G1" s="10" t="s">
        <v>26</v>
      </c>
      <c r="H1" s="10" t="s">
        <v>25</v>
      </c>
      <c r="I1" s="10" t="s">
        <v>24</v>
      </c>
      <c r="J1" s="10" t="s">
        <v>23</v>
      </c>
      <c r="K1" s="10" t="s">
        <v>22</v>
      </c>
      <c r="L1" s="10" t="s">
        <v>40</v>
      </c>
      <c r="M1" s="10" t="s">
        <v>704</v>
      </c>
      <c r="N1" s="63" t="s">
        <v>596</v>
      </c>
      <c r="O1" s="63" t="s">
        <v>597</v>
      </c>
      <c r="P1" s="63" t="s">
        <v>598</v>
      </c>
      <c r="Q1" s="82" t="s">
        <v>608</v>
      </c>
      <c r="R1" s="82" t="s">
        <v>802</v>
      </c>
      <c r="S1" s="82" t="s">
        <v>686</v>
      </c>
    </row>
    <row r="2" spans="1:19" ht="14.25">
      <c r="A2" s="95" t="s">
        <v>484</v>
      </c>
      <c r="B2" s="96" t="s">
        <v>516</v>
      </c>
      <c r="C2" s="81">
        <f>IFERROR( INDEX( temp_file!$B$182:$B$262,MATCH($D2,temp_file!$A$182:$A$262,0)), "#N/A" )</f>
        <v>43</v>
      </c>
      <c r="D2" s="1" t="s">
        <v>192</v>
      </c>
      <c r="E2" s="1" t="s">
        <v>801</v>
      </c>
      <c r="F2" s="24" t="s">
        <v>192</v>
      </c>
      <c r="K2" s="24"/>
      <c r="L2" s="24"/>
      <c r="N2" s="62" t="s">
        <v>192</v>
      </c>
      <c r="O2" s="62" t="s">
        <v>192</v>
      </c>
      <c r="P2" s="62" t="s">
        <v>192</v>
      </c>
      <c r="Q2" s="62" t="s">
        <v>609</v>
      </c>
      <c r="R2" s="62" t="s">
        <v>609</v>
      </c>
      <c r="S2" s="62" t="s">
        <v>609</v>
      </c>
    </row>
    <row r="3" spans="1:19" ht="14.25">
      <c r="A3" s="95" t="s">
        <v>486</v>
      </c>
      <c r="B3" s="96" t="s">
        <v>517</v>
      </c>
      <c r="C3" s="81">
        <f>IFERROR( INDEX( temp_file!$B$182:$B$262,MATCH($D3,temp_file!$A$182:$A$262,0)), "#N/A" )</f>
        <v>41</v>
      </c>
      <c r="D3" s="1" t="s">
        <v>191</v>
      </c>
      <c r="E3" s="1" t="s">
        <v>702</v>
      </c>
      <c r="F3" s="24" t="s">
        <v>191</v>
      </c>
      <c r="K3" s="24"/>
      <c r="L3" s="24"/>
      <c r="N3" s="62" t="s">
        <v>191</v>
      </c>
      <c r="O3" s="62" t="s">
        <v>191</v>
      </c>
      <c r="P3" s="62" t="s">
        <v>191</v>
      </c>
      <c r="Q3" s="62" t="s">
        <v>610</v>
      </c>
      <c r="R3" s="62" t="s">
        <v>610</v>
      </c>
      <c r="S3" s="62" t="s">
        <v>610</v>
      </c>
    </row>
    <row r="4" spans="1:19" ht="14.25">
      <c r="A4" s="95" t="s">
        <v>485</v>
      </c>
      <c r="B4" s="96" t="s">
        <v>517</v>
      </c>
      <c r="C4" s="81">
        <f>IFERROR( INDEX( temp_file!$B$182:$B$262,MATCH($D4,temp_file!$A$182:$A$262,0)), "#N/A" )</f>
        <v>42</v>
      </c>
      <c r="D4" s="1" t="s">
        <v>685</v>
      </c>
      <c r="E4" s="1" t="s">
        <v>702</v>
      </c>
      <c r="F4" s="24" t="s">
        <v>190</v>
      </c>
      <c r="K4" s="24"/>
      <c r="L4" s="24"/>
      <c r="N4" s="62" t="s">
        <v>190</v>
      </c>
      <c r="O4" s="62" t="s">
        <v>190</v>
      </c>
      <c r="P4" s="62" t="s">
        <v>190</v>
      </c>
      <c r="Q4" s="62" t="s">
        <v>611</v>
      </c>
      <c r="R4" s="62" t="s">
        <v>611</v>
      </c>
      <c r="S4" s="62" t="s">
        <v>611</v>
      </c>
    </row>
    <row r="5" spans="1:19" ht="14.25">
      <c r="C5" s="81">
        <f>IFERROR( INDEX( temp_file!$B$182:$B$262,MATCH($D5,temp_file!$A$182:$A$262,0)), "#N/A" )</f>
        <v>77</v>
      </c>
      <c r="D5" s="83" t="s">
        <v>724</v>
      </c>
      <c r="E5" s="1" t="s">
        <v>800</v>
      </c>
      <c r="F5" s="83" t="s">
        <v>189</v>
      </c>
      <c r="K5" s="24"/>
      <c r="L5" s="24"/>
      <c r="N5" s="64" t="s">
        <v>188</v>
      </c>
      <c r="O5" s="64" t="s">
        <v>188</v>
      </c>
      <c r="P5" s="64" t="s">
        <v>188</v>
      </c>
      <c r="Q5" s="64" t="s">
        <v>612</v>
      </c>
      <c r="R5" s="64" t="s">
        <v>612</v>
      </c>
      <c r="S5" s="64" t="s">
        <v>612</v>
      </c>
    </row>
    <row r="6" spans="1:19" ht="14.25">
      <c r="C6" s="81">
        <f>IFERROR( INDEX( temp_file!$B$182:$B$262,MATCH($D6,temp_file!$A$182:$A$262,0)), "#N/A" )</f>
        <v>76</v>
      </c>
      <c r="D6" s="83" t="s">
        <v>187</v>
      </c>
      <c r="E6" s="1" t="s">
        <v>800</v>
      </c>
      <c r="F6" s="83" t="s">
        <v>29</v>
      </c>
      <c r="G6" s="8" t="s">
        <v>712</v>
      </c>
      <c r="K6" s="24"/>
      <c r="L6" s="24"/>
      <c r="N6" s="64" t="s">
        <v>187</v>
      </c>
      <c r="O6" s="64" t="s">
        <v>187</v>
      </c>
      <c r="P6" s="64" t="s">
        <v>187</v>
      </c>
      <c r="Q6" s="64" t="s">
        <v>613</v>
      </c>
      <c r="R6" s="64" t="s">
        <v>613</v>
      </c>
      <c r="S6" s="64" t="s">
        <v>613</v>
      </c>
    </row>
    <row r="7" spans="1:19" ht="14.25">
      <c r="C7" s="81">
        <f>IFERROR( INDEX( temp_file!$B$182:$B$262,MATCH($D7,temp_file!$A$182:$A$262,0)), "#N/A" )</f>
        <v>75</v>
      </c>
      <c r="D7" s="83" t="s">
        <v>186</v>
      </c>
      <c r="E7" s="1" t="s">
        <v>800</v>
      </c>
      <c r="F7" s="83" t="s">
        <v>30</v>
      </c>
      <c r="G7" s="8" t="s">
        <v>713</v>
      </c>
      <c r="H7" s="8" t="s">
        <v>199</v>
      </c>
      <c r="K7" s="24"/>
      <c r="L7" s="24"/>
      <c r="N7" s="64" t="s">
        <v>186</v>
      </c>
      <c r="O7" s="64" t="s">
        <v>186</v>
      </c>
      <c r="P7" s="64" t="s">
        <v>186</v>
      </c>
      <c r="Q7" s="64" t="s">
        <v>614</v>
      </c>
      <c r="R7" s="64" t="s">
        <v>614</v>
      </c>
      <c r="S7" s="64" t="s">
        <v>614</v>
      </c>
    </row>
    <row r="8" spans="1:19" ht="14.25">
      <c r="C8" s="81">
        <f>IFERROR( INDEX( temp_file!$B$182:$B$262,MATCH($D8,temp_file!$A$182:$A$262,0)), "#N/A" )</f>
        <v>23</v>
      </c>
      <c r="D8" s="3" t="s">
        <v>185</v>
      </c>
      <c r="E8" s="1" t="s">
        <v>800</v>
      </c>
      <c r="F8" s="3" t="s">
        <v>185</v>
      </c>
      <c r="G8" s="83" t="s">
        <v>31</v>
      </c>
      <c r="K8" s="24"/>
      <c r="L8" s="24"/>
      <c r="N8" s="3" t="s">
        <v>185</v>
      </c>
      <c r="O8" s="3" t="s">
        <v>185</v>
      </c>
      <c r="P8" s="3" t="s">
        <v>185</v>
      </c>
      <c r="Q8" s="3" t="s">
        <v>615</v>
      </c>
      <c r="R8" s="3" t="s">
        <v>615</v>
      </c>
      <c r="S8" s="3" t="s">
        <v>615</v>
      </c>
    </row>
    <row r="9" spans="1:19" ht="14.25">
      <c r="C9" s="81">
        <f>IFERROR( INDEX( temp_file!$B$182:$B$262,MATCH($D9,temp_file!$A$182:$A$262,0)), "#N/A" )</f>
        <v>22</v>
      </c>
      <c r="D9" s="3" t="s">
        <v>184</v>
      </c>
      <c r="E9" s="1" t="s">
        <v>800</v>
      </c>
      <c r="F9" s="3" t="s">
        <v>184</v>
      </c>
      <c r="G9" s="83" t="s">
        <v>32</v>
      </c>
      <c r="I9" s="1"/>
      <c r="K9" s="24"/>
      <c r="L9" s="24"/>
      <c r="N9" s="3" t="s">
        <v>184</v>
      </c>
      <c r="O9" s="3" t="s">
        <v>184</v>
      </c>
      <c r="P9" s="3" t="s">
        <v>184</v>
      </c>
      <c r="Q9" s="3" t="s">
        <v>616</v>
      </c>
      <c r="R9" s="3" t="s">
        <v>616</v>
      </c>
      <c r="S9" s="3" t="s">
        <v>616</v>
      </c>
    </row>
    <row r="10" spans="1:19" ht="14.25">
      <c r="A10" s="95" t="s">
        <v>487</v>
      </c>
      <c r="B10" s="97" t="s">
        <v>518</v>
      </c>
      <c r="C10" s="81">
        <f>IFERROR( INDEX( temp_file!$B$182:$B$262,MATCH($D10,temp_file!$A$182:$A$262,0)), "#N/A" )</f>
        <v>11</v>
      </c>
      <c r="D10" s="2" t="s">
        <v>740</v>
      </c>
      <c r="E10" s="1" t="s">
        <v>702</v>
      </c>
      <c r="F10" s="2" t="s">
        <v>183</v>
      </c>
      <c r="G10" s="83" t="s">
        <v>33</v>
      </c>
      <c r="K10" s="24"/>
      <c r="L10" s="24"/>
      <c r="N10" s="2" t="s">
        <v>183</v>
      </c>
      <c r="O10" s="2" t="s">
        <v>183</v>
      </c>
      <c r="P10" s="2" t="s">
        <v>183</v>
      </c>
      <c r="Q10" s="2" t="s">
        <v>617</v>
      </c>
      <c r="R10" s="2" t="s">
        <v>617</v>
      </c>
      <c r="S10" s="2" t="s">
        <v>617</v>
      </c>
    </row>
    <row r="11" spans="1:19" ht="14.25">
      <c r="A11" s="95" t="s">
        <v>488</v>
      </c>
      <c r="B11" s="97" t="s">
        <v>518</v>
      </c>
      <c r="C11" s="81">
        <f>IFERROR( INDEX( temp_file!$B$182:$B$262,MATCH($D11,temp_file!$A$182:$A$262,0)), "#N/A" )</f>
        <v>10</v>
      </c>
      <c r="D11" s="2" t="s">
        <v>741</v>
      </c>
      <c r="E11" s="1" t="s">
        <v>702</v>
      </c>
      <c r="F11" s="2" t="s">
        <v>182</v>
      </c>
      <c r="G11" s="83" t="s">
        <v>34</v>
      </c>
      <c r="K11" s="24"/>
      <c r="L11" s="24"/>
      <c r="N11" s="2" t="s">
        <v>182</v>
      </c>
      <c r="O11" s="2" t="s">
        <v>182</v>
      </c>
      <c r="P11" s="2" t="s">
        <v>182</v>
      </c>
      <c r="Q11" s="2" t="s">
        <v>618</v>
      </c>
      <c r="R11" s="2" t="s">
        <v>618</v>
      </c>
      <c r="S11" s="2" t="s">
        <v>618</v>
      </c>
    </row>
    <row r="12" spans="1:19" ht="14.25">
      <c r="A12" s="98" t="s">
        <v>489</v>
      </c>
      <c r="B12" s="97" t="s">
        <v>518</v>
      </c>
      <c r="C12" s="81">
        <f>IFERROR( INDEX( temp_file!$B$182:$B$262,MATCH($D12,temp_file!$A$182:$A$262,0)), "#N/A" )</f>
        <v>9</v>
      </c>
      <c r="D12" s="85" t="s">
        <v>725</v>
      </c>
      <c r="E12" s="1" t="s">
        <v>702</v>
      </c>
      <c r="F12" s="85" t="s">
        <v>181</v>
      </c>
      <c r="G12" s="83" t="s">
        <v>750</v>
      </c>
      <c r="K12" s="24"/>
      <c r="L12" s="24"/>
      <c r="N12" s="65" t="s">
        <v>181</v>
      </c>
      <c r="O12" s="65" t="s">
        <v>181</v>
      </c>
      <c r="P12" s="65" t="s">
        <v>181</v>
      </c>
      <c r="Q12" s="65" t="s">
        <v>619</v>
      </c>
      <c r="R12" s="65" t="s">
        <v>619</v>
      </c>
      <c r="S12" s="65" t="s">
        <v>619</v>
      </c>
    </row>
    <row r="13" spans="1:19" ht="14.25">
      <c r="A13" s="98" t="s">
        <v>490</v>
      </c>
      <c r="B13" s="97" t="s">
        <v>518</v>
      </c>
      <c r="C13" s="81">
        <f>IFERROR( INDEX( temp_file!$B$182:$B$262,MATCH($D13,temp_file!$A$182:$A$262,0)), "#N/A" )</f>
        <v>8</v>
      </c>
      <c r="D13" s="83" t="s">
        <v>726</v>
      </c>
      <c r="E13" s="1" t="s">
        <v>702</v>
      </c>
      <c r="F13" s="83" t="s">
        <v>180</v>
      </c>
      <c r="K13" s="24"/>
      <c r="L13" s="24"/>
      <c r="N13" s="65" t="s">
        <v>179</v>
      </c>
      <c r="O13" s="65" t="s">
        <v>179</v>
      </c>
      <c r="P13" s="65" t="s">
        <v>179</v>
      </c>
      <c r="Q13" s="65" t="s">
        <v>620</v>
      </c>
      <c r="R13" s="65" t="s">
        <v>620</v>
      </c>
      <c r="S13" s="65" t="s">
        <v>620</v>
      </c>
    </row>
    <row r="14" spans="1:19" ht="14.25">
      <c r="A14" s="98" t="s">
        <v>491</v>
      </c>
      <c r="B14" s="99" t="s">
        <v>518</v>
      </c>
      <c r="C14" s="81">
        <f>IFERROR( INDEX( temp_file!$B$182:$B$262,MATCH($D14,temp_file!$A$182:$A$262,0)), "#N/A" )</f>
        <v>59</v>
      </c>
      <c r="D14" s="3" t="s">
        <v>718</v>
      </c>
      <c r="E14" s="1" t="s">
        <v>800</v>
      </c>
      <c r="F14" s="3" t="s">
        <v>117</v>
      </c>
      <c r="G14" s="83" t="s">
        <v>36</v>
      </c>
      <c r="H14" s="89" t="s">
        <v>6</v>
      </c>
      <c r="I14" s="4" t="s">
        <v>160</v>
      </c>
      <c r="K14" s="24"/>
      <c r="L14" s="24"/>
      <c r="M14" s="91"/>
      <c r="N14" s="3" t="s">
        <v>117</v>
      </c>
      <c r="O14" s="3" t="s">
        <v>117</v>
      </c>
      <c r="P14" s="3" t="s">
        <v>117</v>
      </c>
      <c r="Q14" s="3" t="s">
        <v>621</v>
      </c>
      <c r="R14" s="3" t="s">
        <v>621</v>
      </c>
      <c r="S14" s="24" t="s">
        <v>622</v>
      </c>
    </row>
    <row r="15" spans="1:19" ht="14.25">
      <c r="A15" s="100" t="s">
        <v>492</v>
      </c>
      <c r="B15" s="99" t="s">
        <v>518</v>
      </c>
      <c r="C15" s="81">
        <f>IFERROR( INDEX( temp_file!$B$182:$B$262,MATCH($D15,temp_file!$A$182:$A$262,0)), "#N/A" )</f>
        <v>58</v>
      </c>
      <c r="D15" s="3" t="s">
        <v>719</v>
      </c>
      <c r="E15" s="1" t="s">
        <v>800</v>
      </c>
      <c r="F15" s="3" t="s">
        <v>112</v>
      </c>
      <c r="G15" s="83" t="s">
        <v>37</v>
      </c>
      <c r="H15" s="89" t="s">
        <v>5</v>
      </c>
      <c r="I15" s="4" t="s">
        <v>159</v>
      </c>
      <c r="K15" s="24"/>
      <c r="L15" s="24"/>
      <c r="M15" s="91"/>
      <c r="N15" s="3" t="s">
        <v>112</v>
      </c>
      <c r="O15" s="3" t="s">
        <v>112</v>
      </c>
      <c r="P15" s="3" t="s">
        <v>112</v>
      </c>
      <c r="Q15" s="3" t="s">
        <v>623</v>
      </c>
      <c r="R15" s="3" t="s">
        <v>623</v>
      </c>
      <c r="S15" s="24" t="s">
        <v>624</v>
      </c>
    </row>
    <row r="16" spans="1:19" ht="14.25">
      <c r="A16" s="98" t="s">
        <v>493</v>
      </c>
      <c r="B16" s="99" t="s">
        <v>518</v>
      </c>
      <c r="C16" s="81">
        <f>IFERROR( INDEX( temp_file!$B$182:$B$262,MATCH($D16,temp_file!$A$182:$A$262,0)), "#N/A" )</f>
        <v>55</v>
      </c>
      <c r="D16" s="2" t="s">
        <v>722</v>
      </c>
      <c r="E16" s="1" t="s">
        <v>800</v>
      </c>
      <c r="F16" s="2" t="s">
        <v>115</v>
      </c>
      <c r="G16" s="83" t="s">
        <v>178</v>
      </c>
      <c r="H16" s="11" t="s">
        <v>161</v>
      </c>
      <c r="I16" s="4" t="s">
        <v>158</v>
      </c>
      <c r="J16" s="90" t="s">
        <v>687</v>
      </c>
      <c r="K16" s="16" t="s">
        <v>108</v>
      </c>
      <c r="L16" s="24"/>
      <c r="M16" s="91"/>
      <c r="N16" s="16" t="s">
        <v>177</v>
      </c>
      <c r="O16" s="16" t="s">
        <v>176</v>
      </c>
      <c r="P16" s="11" t="s">
        <v>175</v>
      </c>
      <c r="Q16" s="11" t="s">
        <v>625</v>
      </c>
      <c r="R16" s="11" t="s">
        <v>626</v>
      </c>
      <c r="S16" s="11" t="s">
        <v>627</v>
      </c>
    </row>
    <row r="17" spans="1:19" ht="14.25">
      <c r="A17" s="98" t="s">
        <v>16</v>
      </c>
      <c r="B17" s="99" t="s">
        <v>518</v>
      </c>
      <c r="C17" s="81">
        <f>IFERROR( INDEX( temp_file!$B$182:$B$262,MATCH($D17,temp_file!$A$182:$A$262,0)), "#N/A" )</f>
        <v>54</v>
      </c>
      <c r="D17" s="2" t="s">
        <v>723</v>
      </c>
      <c r="E17" s="1" t="s">
        <v>800</v>
      </c>
      <c r="F17" s="2" t="s">
        <v>110</v>
      </c>
      <c r="G17" s="83" t="s">
        <v>35</v>
      </c>
      <c r="H17" s="11" t="s">
        <v>41</v>
      </c>
      <c r="I17" s="4" t="s">
        <v>157</v>
      </c>
      <c r="J17" s="90" t="s">
        <v>688</v>
      </c>
      <c r="K17" s="16" t="s">
        <v>106</v>
      </c>
      <c r="L17" s="24"/>
      <c r="M17" s="91"/>
      <c r="N17" s="16" t="s">
        <v>174</v>
      </c>
      <c r="O17" s="16" t="s">
        <v>173</v>
      </c>
      <c r="P17" s="11" t="s">
        <v>42</v>
      </c>
      <c r="Q17" s="11" t="s">
        <v>628</v>
      </c>
      <c r="R17" s="11" t="s">
        <v>42</v>
      </c>
      <c r="S17" s="11" t="s">
        <v>629</v>
      </c>
    </row>
    <row r="18" spans="1:19" ht="14.25">
      <c r="A18" s="98" t="s">
        <v>494</v>
      </c>
      <c r="B18" s="99" t="s">
        <v>518</v>
      </c>
      <c r="C18" s="81">
        <f>IFERROR( INDEX( temp_file!$B$182:$B$262,MATCH($D18,temp_file!$A$182:$A$262,0)), "#N/A" )</f>
        <v>57</v>
      </c>
      <c r="D18" s="3" t="s">
        <v>720</v>
      </c>
      <c r="E18" s="1" t="s">
        <v>800</v>
      </c>
      <c r="F18" s="3" t="s">
        <v>75</v>
      </c>
      <c r="G18" s="83" t="s">
        <v>38</v>
      </c>
      <c r="H18" s="11" t="s">
        <v>21</v>
      </c>
      <c r="I18" s="4" t="s">
        <v>156</v>
      </c>
      <c r="J18" s="90" t="s">
        <v>689</v>
      </c>
      <c r="K18" s="16" t="s">
        <v>104</v>
      </c>
      <c r="L18" s="24"/>
      <c r="M18" s="91"/>
      <c r="N18" s="16" t="s">
        <v>172</v>
      </c>
      <c r="O18" s="16" t="s">
        <v>171</v>
      </c>
      <c r="P18" s="11" t="s">
        <v>43</v>
      </c>
      <c r="Q18" s="11" t="s">
        <v>21</v>
      </c>
      <c r="R18" s="11" t="s">
        <v>43</v>
      </c>
      <c r="S18" s="11" t="s">
        <v>630</v>
      </c>
    </row>
    <row r="19" spans="1:19" ht="14.25">
      <c r="A19" s="98" t="s">
        <v>495</v>
      </c>
      <c r="B19" s="99" t="s">
        <v>518</v>
      </c>
      <c r="C19" s="81">
        <f>IFERROR( INDEX( temp_file!$B$182:$B$262,MATCH($D19,temp_file!$A$182:$A$262,0)), "#N/A" )</f>
        <v>56</v>
      </c>
      <c r="D19" s="3" t="s">
        <v>721</v>
      </c>
      <c r="E19" s="1" t="s">
        <v>800</v>
      </c>
      <c r="F19" s="3" t="s">
        <v>71</v>
      </c>
      <c r="G19" s="83" t="s">
        <v>39</v>
      </c>
      <c r="H19" s="11" t="s">
        <v>530</v>
      </c>
      <c r="I19" s="4" t="s">
        <v>155</v>
      </c>
      <c r="J19" s="90" t="s">
        <v>690</v>
      </c>
      <c r="K19" s="16" t="s">
        <v>102</v>
      </c>
      <c r="L19" s="24"/>
      <c r="M19" s="91"/>
      <c r="N19" s="16" t="s">
        <v>170</v>
      </c>
      <c r="O19" s="16" t="s">
        <v>169</v>
      </c>
      <c r="P19" s="11" t="s">
        <v>44</v>
      </c>
      <c r="Q19" s="11" t="s">
        <v>631</v>
      </c>
      <c r="R19" s="11" t="s">
        <v>44</v>
      </c>
      <c r="S19" s="11" t="s">
        <v>632</v>
      </c>
    </row>
    <row r="20" spans="1:19" ht="14.25">
      <c r="A20" s="98" t="s">
        <v>496</v>
      </c>
      <c r="B20" s="99" t="s">
        <v>518</v>
      </c>
      <c r="C20" s="81">
        <f>IFERROR( INDEX( temp_file!$B$182:$B$262,MATCH($D20,temp_file!$A$182:$A$262,0)), "#N/A" )</f>
        <v>60</v>
      </c>
      <c r="D20" s="84" t="s">
        <v>133</v>
      </c>
      <c r="E20" s="1" t="s">
        <v>800</v>
      </c>
      <c r="F20" s="86" t="s">
        <v>133</v>
      </c>
      <c r="G20" s="83" t="s">
        <v>202</v>
      </c>
      <c r="I20" s="4" t="s">
        <v>154</v>
      </c>
      <c r="K20" s="24"/>
      <c r="L20" s="24"/>
      <c r="M20" s="91"/>
      <c r="N20" s="66" t="s">
        <v>133</v>
      </c>
      <c r="O20" s="66" t="s">
        <v>133</v>
      </c>
      <c r="P20" s="66" t="s">
        <v>133</v>
      </c>
      <c r="Q20" s="66" t="s">
        <v>633</v>
      </c>
      <c r="R20" s="66" t="s">
        <v>633</v>
      </c>
      <c r="S20" s="66" t="s">
        <v>634</v>
      </c>
    </row>
    <row r="21" spans="1:19" ht="14.25">
      <c r="A21" s="98" t="s">
        <v>497</v>
      </c>
      <c r="B21" s="99" t="s">
        <v>518</v>
      </c>
      <c r="C21" s="81">
        <f>IFERROR( INDEX( temp_file!$B$182:$B$262,MATCH($D21,temp_file!$A$182:$A$262,0)), "#N/A" )</f>
        <v>25</v>
      </c>
      <c r="D21" s="11" t="s">
        <v>716</v>
      </c>
      <c r="E21" s="1" t="s">
        <v>800</v>
      </c>
      <c r="F21" s="11" t="s">
        <v>168</v>
      </c>
      <c r="G21" s="83" t="s">
        <v>167</v>
      </c>
      <c r="H21" s="2" t="s">
        <v>74</v>
      </c>
      <c r="I21" s="3" t="s">
        <v>75</v>
      </c>
      <c r="K21" s="24"/>
      <c r="L21" s="24"/>
      <c r="M21" s="91"/>
      <c r="N21" s="62" t="s">
        <v>166</v>
      </c>
      <c r="O21" s="62" t="s">
        <v>166</v>
      </c>
      <c r="P21" s="62" t="s">
        <v>165</v>
      </c>
      <c r="Q21" s="62" t="s">
        <v>635</v>
      </c>
      <c r="R21" s="62" t="s">
        <v>636</v>
      </c>
      <c r="S21" s="24" t="s">
        <v>637</v>
      </c>
    </row>
    <row r="22" spans="1:19" ht="16.5" customHeight="1">
      <c r="A22" s="98" t="s">
        <v>17</v>
      </c>
      <c r="B22" s="99" t="s">
        <v>518</v>
      </c>
      <c r="C22" s="81">
        <f>IFERROR( INDEX( temp_file!$B$182:$B$262,MATCH($D22,temp_file!$A$182:$A$262,0)), "#N/A" )</f>
        <v>24</v>
      </c>
      <c r="D22" s="11" t="s">
        <v>717</v>
      </c>
      <c r="E22" s="1" t="s">
        <v>800</v>
      </c>
      <c r="F22" s="11" t="s">
        <v>164</v>
      </c>
      <c r="G22" s="83" t="s">
        <v>163</v>
      </c>
      <c r="H22" s="2" t="s">
        <v>70</v>
      </c>
      <c r="I22" s="3" t="s">
        <v>71</v>
      </c>
      <c r="K22" s="24"/>
      <c r="L22" s="24"/>
      <c r="M22" s="91"/>
      <c r="N22" s="62" t="s">
        <v>162</v>
      </c>
      <c r="O22" s="62" t="s">
        <v>162</v>
      </c>
      <c r="P22" s="62" t="s">
        <v>162</v>
      </c>
      <c r="Q22" s="62" t="s">
        <v>638</v>
      </c>
      <c r="R22" s="62" t="s">
        <v>639</v>
      </c>
      <c r="S22" s="24" t="s">
        <v>640</v>
      </c>
    </row>
    <row r="23" spans="1:19" ht="14.25">
      <c r="A23" s="98" t="s">
        <v>498</v>
      </c>
      <c r="B23" s="99" t="s">
        <v>518</v>
      </c>
      <c r="C23" s="81">
        <f>IFERROR( INDEX( temp_file!$B$182:$B$262,MATCH($D23,temp_file!$A$182:$A$262,0)), "#N/A" )</f>
        <v>47</v>
      </c>
      <c r="D23" s="18" t="s">
        <v>727</v>
      </c>
      <c r="E23" s="1" t="s">
        <v>800</v>
      </c>
      <c r="F23" s="18" t="s">
        <v>153</v>
      </c>
      <c r="G23" s="83" t="s">
        <v>152</v>
      </c>
      <c r="H23" s="6" t="s">
        <v>149</v>
      </c>
      <c r="I23" s="6" t="s">
        <v>151</v>
      </c>
      <c r="J23" s="16" t="s">
        <v>108</v>
      </c>
      <c r="K23" s="16" t="s">
        <v>107</v>
      </c>
      <c r="L23" s="11" t="s">
        <v>150</v>
      </c>
      <c r="M23" s="90" t="s">
        <v>694</v>
      </c>
      <c r="N23" s="6" t="s">
        <v>149</v>
      </c>
      <c r="O23" s="11" t="s">
        <v>148</v>
      </c>
      <c r="P23" s="11" t="s">
        <v>148</v>
      </c>
      <c r="Q23" s="11" t="s">
        <v>641</v>
      </c>
      <c r="R23" s="11" t="s">
        <v>642</v>
      </c>
      <c r="S23" s="24" t="s">
        <v>643</v>
      </c>
    </row>
    <row r="24" spans="1:19" ht="14.25">
      <c r="A24" s="98" t="s">
        <v>499</v>
      </c>
      <c r="B24" s="99" t="s">
        <v>518</v>
      </c>
      <c r="C24" s="81">
        <f>IFERROR( INDEX( temp_file!$B$182:$B$262,MATCH($D24,temp_file!$A$182:$A$262,0)), "#N/A" )</f>
        <v>48</v>
      </c>
      <c r="D24" s="18" t="s">
        <v>728</v>
      </c>
      <c r="E24" s="1" t="s">
        <v>800</v>
      </c>
      <c r="F24" s="18" t="s">
        <v>147</v>
      </c>
      <c r="G24" s="83" t="s">
        <v>146</v>
      </c>
      <c r="H24" s="6" t="s">
        <v>144</v>
      </c>
      <c r="I24" s="6" t="s">
        <v>145</v>
      </c>
      <c r="J24" s="16" t="s">
        <v>106</v>
      </c>
      <c r="K24" s="16" t="s">
        <v>105</v>
      </c>
      <c r="L24" s="11" t="s">
        <v>7</v>
      </c>
      <c r="M24" s="90" t="s">
        <v>691</v>
      </c>
      <c r="N24" s="6" t="s">
        <v>144</v>
      </c>
      <c r="O24" s="11" t="s">
        <v>49</v>
      </c>
      <c r="P24" s="11" t="s">
        <v>49</v>
      </c>
      <c r="Q24" s="11" t="s">
        <v>644</v>
      </c>
      <c r="R24" s="11" t="s">
        <v>645</v>
      </c>
    </row>
    <row r="25" spans="1:19" ht="14.25">
      <c r="A25" s="98" t="s">
        <v>500</v>
      </c>
      <c r="B25" s="99" t="s">
        <v>518</v>
      </c>
      <c r="C25" s="81">
        <f>IFERROR( INDEX( temp_file!$B$182:$B$262,MATCH($D25,temp_file!$A$182:$A$262,0)), "#N/A" )</f>
        <v>49</v>
      </c>
      <c r="D25" s="18" t="s">
        <v>729</v>
      </c>
      <c r="E25" s="1" t="s">
        <v>800</v>
      </c>
      <c r="F25" s="18" t="s">
        <v>143</v>
      </c>
      <c r="G25" s="83" t="s">
        <v>142</v>
      </c>
      <c r="H25" s="6" t="s">
        <v>140</v>
      </c>
      <c r="I25" s="6" t="s">
        <v>141</v>
      </c>
      <c r="J25" s="16" t="s">
        <v>104</v>
      </c>
      <c r="K25" s="16" t="s">
        <v>103</v>
      </c>
      <c r="L25" s="11" t="s">
        <v>4</v>
      </c>
      <c r="M25" s="90" t="s">
        <v>692</v>
      </c>
      <c r="N25" s="6" t="s">
        <v>140</v>
      </c>
      <c r="O25" s="11" t="s">
        <v>50</v>
      </c>
      <c r="P25" s="11" t="s">
        <v>50</v>
      </c>
      <c r="Q25" s="11" t="s">
        <v>646</v>
      </c>
      <c r="R25" s="11" t="s">
        <v>647</v>
      </c>
    </row>
    <row r="26" spans="1:19" ht="14.25">
      <c r="A26" s="98" t="s">
        <v>501</v>
      </c>
      <c r="B26" s="99" t="s">
        <v>518</v>
      </c>
      <c r="C26" s="81">
        <f>IFERROR( INDEX( temp_file!$B$182:$B$262,MATCH($D26,temp_file!$A$182:$A$262,0)), "#N/A" )</f>
        <v>50</v>
      </c>
      <c r="D26" s="18" t="s">
        <v>730</v>
      </c>
      <c r="E26" s="1" t="s">
        <v>800</v>
      </c>
      <c r="F26" s="18" t="s">
        <v>139</v>
      </c>
      <c r="G26" s="83" t="s">
        <v>138</v>
      </c>
      <c r="H26" s="6" t="s">
        <v>136</v>
      </c>
      <c r="I26" s="6" t="s">
        <v>137</v>
      </c>
      <c r="J26" s="16" t="s">
        <v>102</v>
      </c>
      <c r="K26" s="16" t="s">
        <v>101</v>
      </c>
      <c r="L26" s="11" t="s">
        <v>3</v>
      </c>
      <c r="M26" s="90" t="s">
        <v>693</v>
      </c>
      <c r="N26" s="6" t="s">
        <v>136</v>
      </c>
      <c r="O26" s="11" t="s">
        <v>51</v>
      </c>
      <c r="P26" s="11" t="s">
        <v>51</v>
      </c>
      <c r="Q26" s="11" t="s">
        <v>648</v>
      </c>
      <c r="R26" s="11" t="s">
        <v>649</v>
      </c>
    </row>
    <row r="27" spans="1:19" ht="14.25">
      <c r="A27" s="98" t="s">
        <v>502</v>
      </c>
      <c r="B27" s="99" t="s">
        <v>518</v>
      </c>
      <c r="C27" s="81">
        <f>IFERROR( INDEX( temp_file!$B$182:$B$262,MATCH($D27,temp_file!$A$182:$A$262,0)), "#N/A" )</f>
        <v>51</v>
      </c>
      <c r="D27" s="18" t="s">
        <v>731</v>
      </c>
      <c r="E27" s="1" t="s">
        <v>800</v>
      </c>
      <c r="F27" s="18" t="s">
        <v>135</v>
      </c>
      <c r="G27" s="83" t="s">
        <v>134</v>
      </c>
      <c r="H27" s="5" t="s">
        <v>132</v>
      </c>
      <c r="I27" s="86" t="s">
        <v>133</v>
      </c>
      <c r="J27" s="92" t="s">
        <v>714</v>
      </c>
      <c r="K27" s="24"/>
      <c r="L27" s="24"/>
      <c r="N27" s="5" t="s">
        <v>132</v>
      </c>
      <c r="O27" s="62" t="s">
        <v>60</v>
      </c>
      <c r="P27" s="62" t="s">
        <v>131</v>
      </c>
      <c r="Q27" s="62" t="s">
        <v>650</v>
      </c>
      <c r="R27" s="24" t="s">
        <v>651</v>
      </c>
    </row>
    <row r="28" spans="1:19" ht="14.25">
      <c r="A28" s="98" t="s">
        <v>503</v>
      </c>
      <c r="B28" s="99" t="s">
        <v>518</v>
      </c>
      <c r="C28" s="81">
        <f>IFERROR( INDEX( temp_file!$B$182:$B$262,MATCH($D28,temp_file!$A$182:$A$262,0)), "#N/A" )</f>
        <v>26</v>
      </c>
      <c r="D28" s="17" t="s">
        <v>732</v>
      </c>
      <c r="E28" s="1" t="s">
        <v>800</v>
      </c>
      <c r="F28" s="17" t="s">
        <v>129</v>
      </c>
      <c r="G28" s="83" t="s">
        <v>130</v>
      </c>
      <c r="J28" s="4" t="s">
        <v>695</v>
      </c>
      <c r="K28" s="24"/>
      <c r="L28" s="24"/>
      <c r="N28" s="17" t="s">
        <v>129</v>
      </c>
      <c r="O28" s="17" t="s">
        <v>129</v>
      </c>
      <c r="P28" s="17" t="s">
        <v>129</v>
      </c>
      <c r="Q28" s="17" t="s">
        <v>652</v>
      </c>
      <c r="R28" s="17" t="s">
        <v>652</v>
      </c>
      <c r="S28" s="17" t="s">
        <v>652</v>
      </c>
    </row>
    <row r="29" spans="1:19" ht="14.25">
      <c r="A29" s="101" t="s">
        <v>504</v>
      </c>
      <c r="B29" s="99" t="s">
        <v>518</v>
      </c>
      <c r="C29" s="81">
        <f>IFERROR( INDEX( temp_file!$B$182:$B$262,MATCH($D29,temp_file!$A$182:$A$262,0)), "#N/A" )</f>
        <v>27</v>
      </c>
      <c r="D29" s="17" t="s">
        <v>733</v>
      </c>
      <c r="E29" s="1" t="s">
        <v>800</v>
      </c>
      <c r="F29" s="17" t="s">
        <v>126</v>
      </c>
      <c r="G29" s="83" t="s">
        <v>128</v>
      </c>
      <c r="J29" s="4" t="s">
        <v>127</v>
      </c>
      <c r="K29" s="24"/>
      <c r="L29" s="24"/>
      <c r="N29" s="17" t="s">
        <v>126</v>
      </c>
      <c r="O29" s="17" t="s">
        <v>126</v>
      </c>
      <c r="P29" s="17" t="s">
        <v>126</v>
      </c>
      <c r="Q29" s="17" t="s">
        <v>653</v>
      </c>
      <c r="R29" s="17" t="s">
        <v>653</v>
      </c>
      <c r="S29" s="17" t="s">
        <v>653</v>
      </c>
    </row>
    <row r="30" spans="1:19" ht="14.25">
      <c r="A30" s="98" t="s">
        <v>505</v>
      </c>
      <c r="B30" s="99" t="s">
        <v>518</v>
      </c>
      <c r="C30" s="81">
        <f>IFERROR( INDEX( temp_file!$B$182:$B$262,MATCH($D30,temp_file!$A$182:$A$262,0)), "#N/A" )</f>
        <v>28</v>
      </c>
      <c r="D30" s="17" t="s">
        <v>734</v>
      </c>
      <c r="E30" s="1" t="s">
        <v>800</v>
      </c>
      <c r="F30" s="17" t="s">
        <v>123</v>
      </c>
      <c r="G30" s="83" t="s">
        <v>125</v>
      </c>
      <c r="J30" s="4" t="s">
        <v>124</v>
      </c>
      <c r="K30" s="24"/>
      <c r="L30" s="24"/>
      <c r="N30" s="17" t="s">
        <v>123</v>
      </c>
      <c r="O30" s="17" t="s">
        <v>123</v>
      </c>
      <c r="P30" s="17" t="s">
        <v>123</v>
      </c>
      <c r="Q30" s="17" t="s">
        <v>654</v>
      </c>
      <c r="R30" s="17" t="s">
        <v>654</v>
      </c>
      <c r="S30" s="17" t="s">
        <v>654</v>
      </c>
    </row>
    <row r="31" spans="1:19" ht="14.25">
      <c r="A31" s="101" t="s">
        <v>506</v>
      </c>
      <c r="B31" s="99" t="s">
        <v>518</v>
      </c>
      <c r="C31" s="81">
        <f>IFERROR( INDEX( temp_file!$B$182:$B$262,MATCH($D31,temp_file!$A$182:$A$262,0)), "#N/A" )</f>
        <v>29</v>
      </c>
      <c r="D31" s="17" t="s">
        <v>735</v>
      </c>
      <c r="E31" s="1" t="s">
        <v>800</v>
      </c>
      <c r="F31" s="17" t="s">
        <v>120</v>
      </c>
      <c r="G31" s="83" t="s">
        <v>122</v>
      </c>
      <c r="J31" s="4" t="s">
        <v>121</v>
      </c>
      <c r="K31" s="24"/>
      <c r="L31" s="24"/>
      <c r="N31" s="17" t="s">
        <v>120</v>
      </c>
      <c r="O31" s="17" t="s">
        <v>120</v>
      </c>
      <c r="P31" s="17" t="s">
        <v>120</v>
      </c>
      <c r="Q31" s="17" t="s">
        <v>655</v>
      </c>
      <c r="R31" s="17" t="s">
        <v>655</v>
      </c>
      <c r="S31" s="17" t="s">
        <v>655</v>
      </c>
    </row>
    <row r="32" spans="1:19" ht="14.25">
      <c r="A32" s="101" t="s">
        <v>507</v>
      </c>
      <c r="B32" s="99" t="s">
        <v>518</v>
      </c>
      <c r="C32" s="81">
        <f>IFERROR( INDEX( temp_file!$B$182:$B$262,MATCH($D32,temp_file!$A$182:$A$262,0)), "#N/A" )</f>
        <v>30</v>
      </c>
      <c r="D32" s="17" t="s">
        <v>736</v>
      </c>
      <c r="E32" s="1" t="s">
        <v>800</v>
      </c>
      <c r="F32" s="17" t="s">
        <v>119</v>
      </c>
      <c r="G32" s="83" t="s">
        <v>118</v>
      </c>
      <c r="H32" s="3" t="s">
        <v>117</v>
      </c>
      <c r="I32" s="2" t="s">
        <v>115</v>
      </c>
      <c r="J32" s="4" t="s">
        <v>116</v>
      </c>
      <c r="K32" s="24"/>
      <c r="L32" s="24"/>
      <c r="N32" s="2" t="s">
        <v>115</v>
      </c>
      <c r="O32" s="62" t="s">
        <v>68</v>
      </c>
      <c r="P32" s="62" t="s">
        <v>68</v>
      </c>
      <c r="Q32" s="17" t="s">
        <v>656</v>
      </c>
      <c r="R32" s="17" t="s">
        <v>656</v>
      </c>
    </row>
    <row r="33" spans="1:19" ht="14.25">
      <c r="A33" s="95" t="s">
        <v>508</v>
      </c>
      <c r="B33" s="99" t="s">
        <v>518</v>
      </c>
      <c r="C33" s="81">
        <f>IFERROR( INDEX( temp_file!$B$182:$B$262,MATCH($D33,temp_file!$A$182:$A$262,0)), "#N/A" )</f>
        <v>31</v>
      </c>
      <c r="D33" s="17" t="s">
        <v>737</v>
      </c>
      <c r="E33" s="1" t="s">
        <v>800</v>
      </c>
      <c r="F33" s="17" t="s">
        <v>114</v>
      </c>
      <c r="G33" s="83" t="s">
        <v>113</v>
      </c>
      <c r="H33" s="3" t="s">
        <v>112</v>
      </c>
      <c r="I33" s="2" t="s">
        <v>110</v>
      </c>
      <c r="J33" s="4" t="s">
        <v>111</v>
      </c>
      <c r="K33" s="24"/>
      <c r="L33" s="24"/>
      <c r="N33" s="2" t="s">
        <v>110</v>
      </c>
      <c r="O33" s="62" t="s">
        <v>109</v>
      </c>
      <c r="P33" s="62" t="s">
        <v>109</v>
      </c>
      <c r="Q33" s="17" t="s">
        <v>657</v>
      </c>
      <c r="R33" s="17" t="s">
        <v>657</v>
      </c>
      <c r="S33" s="24" t="s">
        <v>658</v>
      </c>
    </row>
    <row r="34" spans="1:19" ht="14.25">
      <c r="A34" s="98" t="s">
        <v>509</v>
      </c>
      <c r="B34" s="99" t="s">
        <v>518</v>
      </c>
      <c r="C34" s="81">
        <f>IFERROR( INDEX( temp_file!$B$182:$B$262,MATCH($D34,temp_file!$A$182:$A$262,0)), "#N/A" )</f>
        <v>88</v>
      </c>
      <c r="D34" s="4" t="s">
        <v>742</v>
      </c>
      <c r="E34" s="1" t="s">
        <v>800</v>
      </c>
      <c r="F34" s="4" t="s">
        <v>97</v>
      </c>
      <c r="G34" s="83" t="s">
        <v>100</v>
      </c>
      <c r="I34" s="15" t="s">
        <v>99</v>
      </c>
      <c r="J34" s="15" t="s">
        <v>98</v>
      </c>
      <c r="K34" s="24"/>
      <c r="L34" s="24"/>
      <c r="N34" s="4" t="s">
        <v>97</v>
      </c>
      <c r="O34" s="4" t="s">
        <v>97</v>
      </c>
      <c r="P34" s="4" t="s">
        <v>97</v>
      </c>
      <c r="Q34" s="4" t="s">
        <v>659</v>
      </c>
      <c r="R34" s="4" t="s">
        <v>659</v>
      </c>
      <c r="S34" s="4" t="s">
        <v>659</v>
      </c>
    </row>
    <row r="35" spans="1:19" ht="14.25">
      <c r="A35" s="98" t="s">
        <v>510</v>
      </c>
      <c r="B35" s="99" t="s">
        <v>518</v>
      </c>
      <c r="C35" s="81">
        <f>IFERROR( INDEX( temp_file!$B$182:$B$262,MATCH($D35,temp_file!$A$182:$A$262,0)), "#N/A" )</f>
        <v>87</v>
      </c>
      <c r="D35" s="4" t="s">
        <v>743</v>
      </c>
      <c r="E35" s="1" t="s">
        <v>800</v>
      </c>
      <c r="F35" s="4" t="s">
        <v>92</v>
      </c>
      <c r="G35" s="83" t="s">
        <v>96</v>
      </c>
      <c r="H35" s="14" t="s">
        <v>95</v>
      </c>
      <c r="I35" s="15" t="s">
        <v>94</v>
      </c>
      <c r="J35" s="15" t="s">
        <v>93</v>
      </c>
      <c r="K35" s="24"/>
      <c r="L35" s="24"/>
      <c r="N35" s="4" t="s">
        <v>92</v>
      </c>
      <c r="O35" s="4" t="s">
        <v>92</v>
      </c>
      <c r="P35" s="4" t="s">
        <v>92</v>
      </c>
      <c r="Q35" s="4" t="s">
        <v>660</v>
      </c>
      <c r="R35" s="4" t="s">
        <v>660</v>
      </c>
      <c r="S35" s="4" t="s">
        <v>660</v>
      </c>
    </row>
    <row r="36" spans="1:19" ht="14.25">
      <c r="A36" s="98" t="s">
        <v>511</v>
      </c>
      <c r="B36" s="99" t="s">
        <v>518</v>
      </c>
      <c r="C36" s="81">
        <f>IFERROR( INDEX( temp_file!$B$182:$B$262,MATCH($D36,temp_file!$A$182:$A$262,0)), "#N/A" )</f>
        <v>86</v>
      </c>
      <c r="D36" s="4" t="s">
        <v>744</v>
      </c>
      <c r="E36" s="1" t="s">
        <v>800</v>
      </c>
      <c r="F36" s="4" t="s">
        <v>87</v>
      </c>
      <c r="G36" s="83" t="s">
        <v>91</v>
      </c>
      <c r="H36" s="14" t="s">
        <v>90</v>
      </c>
      <c r="I36" s="15" t="s">
        <v>89</v>
      </c>
      <c r="J36" s="15" t="s">
        <v>88</v>
      </c>
      <c r="K36" s="24"/>
      <c r="L36" s="24"/>
      <c r="N36" s="4" t="s">
        <v>87</v>
      </c>
      <c r="O36" s="4" t="s">
        <v>87</v>
      </c>
      <c r="P36" s="4" t="s">
        <v>87</v>
      </c>
      <c r="Q36" s="4" t="s">
        <v>661</v>
      </c>
      <c r="R36" s="4" t="s">
        <v>661</v>
      </c>
      <c r="S36" s="4" t="s">
        <v>661</v>
      </c>
    </row>
    <row r="37" spans="1:19" ht="14.25">
      <c r="A37" s="98" t="s">
        <v>512</v>
      </c>
      <c r="B37" s="99" t="s">
        <v>518</v>
      </c>
      <c r="C37" s="81">
        <f>IFERROR( INDEX( temp_file!$B$182:$B$262,MATCH($D37,temp_file!$A$182:$A$262,0)), "#N/A" )</f>
        <v>85</v>
      </c>
      <c r="D37" s="4" t="s">
        <v>745</v>
      </c>
      <c r="E37" s="1" t="s">
        <v>800</v>
      </c>
      <c r="F37" s="4" t="s">
        <v>82</v>
      </c>
      <c r="G37" s="83" t="s">
        <v>86</v>
      </c>
      <c r="H37" s="14" t="s">
        <v>85</v>
      </c>
      <c r="I37" s="15" t="s">
        <v>84</v>
      </c>
      <c r="J37" s="15" t="s">
        <v>83</v>
      </c>
      <c r="K37" s="24"/>
      <c r="L37" s="24"/>
      <c r="N37" s="4" t="s">
        <v>82</v>
      </c>
      <c r="O37" s="4" t="s">
        <v>82</v>
      </c>
      <c r="P37" s="4" t="s">
        <v>82</v>
      </c>
      <c r="Q37" s="4" t="s">
        <v>662</v>
      </c>
      <c r="R37" s="4" t="s">
        <v>662</v>
      </c>
      <c r="S37" s="4" t="s">
        <v>662</v>
      </c>
    </row>
    <row r="38" spans="1:19" ht="14.25">
      <c r="A38" s="98" t="s">
        <v>513</v>
      </c>
      <c r="B38" s="99" t="s">
        <v>518</v>
      </c>
      <c r="C38" s="81">
        <f>IFERROR( INDEX( temp_file!$B$182:$B$262,MATCH($D38,temp_file!$A$182:$A$262,0)), "#N/A" )</f>
        <v>84</v>
      </c>
      <c r="D38" s="4" t="s">
        <v>746</v>
      </c>
      <c r="E38" s="1" t="s">
        <v>800</v>
      </c>
      <c r="F38" s="4" t="s">
        <v>77</v>
      </c>
      <c r="G38" s="83" t="s">
        <v>81</v>
      </c>
      <c r="H38" s="14" t="s">
        <v>80</v>
      </c>
      <c r="I38" s="15" t="s">
        <v>79</v>
      </c>
      <c r="J38" s="15" t="s">
        <v>78</v>
      </c>
      <c r="K38" s="24"/>
      <c r="L38" s="24"/>
      <c r="N38" s="4" t="s">
        <v>77</v>
      </c>
      <c r="O38" s="4" t="s">
        <v>77</v>
      </c>
      <c r="P38" s="4" t="s">
        <v>77</v>
      </c>
      <c r="Q38" s="4" t="s">
        <v>663</v>
      </c>
      <c r="R38" s="4" t="s">
        <v>663</v>
      </c>
      <c r="S38" s="62" t="s">
        <v>639</v>
      </c>
    </row>
    <row r="39" spans="1:19" ht="14.25">
      <c r="A39" s="98" t="s">
        <v>514</v>
      </c>
      <c r="B39" s="99" t="s">
        <v>518</v>
      </c>
      <c r="C39" s="81">
        <f>IFERROR( INDEX( temp_file!$B$182:$B$262,MATCH($D39,temp_file!$A$182:$A$262,0)), "#N/A" )</f>
        <v>83</v>
      </c>
      <c r="D39" s="4" t="s">
        <v>747</v>
      </c>
      <c r="E39" s="1" t="s">
        <v>800</v>
      </c>
      <c r="F39" s="4" t="s">
        <v>73</v>
      </c>
      <c r="G39" s="83" t="s">
        <v>76</v>
      </c>
      <c r="I39" s="3" t="s">
        <v>75</v>
      </c>
      <c r="J39" s="2" t="s">
        <v>74</v>
      </c>
      <c r="K39" s="24"/>
      <c r="L39" s="24"/>
      <c r="N39" s="4" t="s">
        <v>73</v>
      </c>
      <c r="O39" s="4" t="s">
        <v>73</v>
      </c>
      <c r="P39" s="4" t="s">
        <v>73</v>
      </c>
      <c r="Q39" s="4" t="s">
        <v>664</v>
      </c>
      <c r="R39" s="4" t="s">
        <v>664</v>
      </c>
      <c r="S39" s="24" t="s">
        <v>665</v>
      </c>
    </row>
    <row r="40" spans="1:19" ht="14.25">
      <c r="A40" s="98" t="s">
        <v>515</v>
      </c>
      <c r="B40" s="99" t="s">
        <v>518</v>
      </c>
      <c r="C40" s="81">
        <f>IFERROR( INDEX( temp_file!$B$182:$B$262,MATCH($D40,temp_file!$A$182:$A$262,0)), "#N/A" )</f>
        <v>82</v>
      </c>
      <c r="D40" s="4" t="s">
        <v>748</v>
      </c>
      <c r="E40" s="1" t="s">
        <v>800</v>
      </c>
      <c r="F40" s="4" t="s">
        <v>69</v>
      </c>
      <c r="G40" s="83" t="s">
        <v>72</v>
      </c>
      <c r="H40" s="14" t="s">
        <v>777</v>
      </c>
      <c r="I40" s="3" t="s">
        <v>71</v>
      </c>
      <c r="J40" s="2" t="s">
        <v>70</v>
      </c>
      <c r="K40" s="24"/>
      <c r="L40" s="24"/>
      <c r="N40" s="4" t="s">
        <v>69</v>
      </c>
      <c r="O40" s="4" t="s">
        <v>69</v>
      </c>
      <c r="P40" s="4" t="s">
        <v>69</v>
      </c>
      <c r="Q40" s="4" t="s">
        <v>666</v>
      </c>
      <c r="R40" s="4" t="s">
        <v>666</v>
      </c>
      <c r="S40" s="62" t="s">
        <v>636</v>
      </c>
    </row>
    <row r="41" spans="1:19" ht="14.25">
      <c r="A41" s="98" t="s">
        <v>521</v>
      </c>
      <c r="B41" s="97" t="s">
        <v>523</v>
      </c>
      <c r="C41" s="81">
        <f>IFERROR( INDEX( temp_file!$B$182:$B$262,MATCH($D41,temp_file!$A$182:$A$262,0)), "#N/A" )</f>
        <v>12</v>
      </c>
      <c r="D41" s="27" t="s">
        <v>738</v>
      </c>
      <c r="E41" s="1" t="s">
        <v>702</v>
      </c>
      <c r="F41" s="27" t="s">
        <v>715</v>
      </c>
      <c r="G41" s="83" t="s">
        <v>27</v>
      </c>
      <c r="K41" s="24"/>
      <c r="L41" s="24"/>
      <c r="N41" s="62" t="s">
        <v>68</v>
      </c>
      <c r="O41" s="62"/>
      <c r="P41" s="62"/>
      <c r="Q41" s="27" t="s">
        <v>667</v>
      </c>
      <c r="R41" s="27" t="s">
        <v>667</v>
      </c>
      <c r="S41" s="27" t="s">
        <v>667</v>
      </c>
    </row>
    <row r="42" spans="1:19" ht="14.25">
      <c r="A42" s="98" t="s">
        <v>522</v>
      </c>
      <c r="B42" s="97" t="s">
        <v>523</v>
      </c>
      <c r="C42" s="81">
        <f>IFERROR( INDEX( temp_file!$B$182:$B$262,MATCH($D42,temp_file!$A$182:$A$262,0)), "#N/A" )</f>
        <v>13</v>
      </c>
      <c r="D42" s="27" t="s">
        <v>547</v>
      </c>
      <c r="E42" s="1" t="s">
        <v>702</v>
      </c>
      <c r="F42" s="27" t="s">
        <v>547</v>
      </c>
      <c r="G42" s="83" t="s">
        <v>28</v>
      </c>
      <c r="K42" s="24"/>
      <c r="L42" s="24"/>
      <c r="N42" s="62" t="s">
        <v>67</v>
      </c>
      <c r="O42" s="62" t="s">
        <v>67</v>
      </c>
      <c r="P42" s="62" t="s">
        <v>67</v>
      </c>
      <c r="Q42" s="27" t="s">
        <v>668</v>
      </c>
      <c r="R42" s="27" t="s">
        <v>669</v>
      </c>
      <c r="S42" s="62" t="s">
        <v>670</v>
      </c>
    </row>
    <row r="43" spans="1:19" ht="14.25">
      <c r="C43" s="81">
        <f>IFERROR( INDEX( temp_file!$B$182:$B$262,MATCH($D43,temp_file!$A$182:$A$262,0)), "#N/A" )</f>
        <v>80</v>
      </c>
      <c r="D43" s="83" t="s">
        <v>751</v>
      </c>
      <c r="E43" s="1" t="s">
        <v>800</v>
      </c>
      <c r="F43" s="83" t="s">
        <v>779</v>
      </c>
      <c r="G43" s="83"/>
      <c r="H43" s="8" t="s">
        <v>0</v>
      </c>
      <c r="I43" s="11" t="s">
        <v>6</v>
      </c>
      <c r="J43" s="87" t="s">
        <v>66</v>
      </c>
      <c r="K43" s="4" t="s">
        <v>749</v>
      </c>
      <c r="L43" s="7" t="s">
        <v>13</v>
      </c>
      <c r="N43" s="62" t="s">
        <v>65</v>
      </c>
      <c r="O43" s="62" t="s">
        <v>65</v>
      </c>
      <c r="P43" s="62" t="s">
        <v>65</v>
      </c>
      <c r="Q43" s="24" t="s">
        <v>671</v>
      </c>
      <c r="R43" s="24" t="s">
        <v>673</v>
      </c>
      <c r="S43" s="8" t="s">
        <v>672</v>
      </c>
    </row>
    <row r="44" spans="1:19" ht="14.25">
      <c r="C44" s="81">
        <f>IFERROR( INDEX( temp_file!$B$182:$B$262,MATCH($D44,temp_file!$A$182:$A$262,0)), "#N/A" )</f>
        <v>81</v>
      </c>
      <c r="D44" s="83" t="s">
        <v>739</v>
      </c>
      <c r="E44" s="1" t="s">
        <v>800</v>
      </c>
      <c r="F44" s="83" t="s">
        <v>63</v>
      </c>
      <c r="G44" s="83"/>
      <c r="H44" s="8" t="s">
        <v>20</v>
      </c>
      <c r="I44" s="11" t="s">
        <v>5</v>
      </c>
      <c r="J44" s="9" t="s">
        <v>62</v>
      </c>
      <c r="K44" s="8" t="s">
        <v>200</v>
      </c>
      <c r="L44" s="7" t="s">
        <v>12</v>
      </c>
      <c r="N44" s="11" t="s">
        <v>61</v>
      </c>
      <c r="O44" s="11" t="s">
        <v>61</v>
      </c>
      <c r="P44" s="11" t="s">
        <v>61</v>
      </c>
      <c r="Q44" s="24" t="s">
        <v>674</v>
      </c>
      <c r="R44" s="24" t="s">
        <v>675</v>
      </c>
      <c r="S44" s="8" t="s">
        <v>675</v>
      </c>
    </row>
    <row r="45" spans="1:19" ht="14.25">
      <c r="C45" s="81">
        <f>IFERROR( INDEX( temp_file!$B$182:$B$262,MATCH($D45,temp_file!$A$182:$A$262,0)), "#N/A" )</f>
        <v>6</v>
      </c>
      <c r="D45" s="13" t="s">
        <v>706</v>
      </c>
      <c r="E45" s="1"/>
      <c r="F45" s="13" t="s">
        <v>58</v>
      </c>
      <c r="K45" s="24"/>
      <c r="L45" s="24"/>
      <c r="N45" s="13" t="s">
        <v>58</v>
      </c>
      <c r="O45" s="13" t="s">
        <v>58</v>
      </c>
      <c r="P45" s="13" t="s">
        <v>58</v>
      </c>
      <c r="R45" s="13" t="s">
        <v>679</v>
      </c>
      <c r="S45" s="13" t="s">
        <v>679</v>
      </c>
    </row>
    <row r="46" spans="1:19" ht="14.25">
      <c r="C46" s="81">
        <f>IFERROR( INDEX( temp_file!$B$182:$B$262,MATCH($D46,temp_file!$A$182:$A$262,0)), "#N/A" )</f>
        <v>5</v>
      </c>
      <c r="D46" s="13" t="s">
        <v>707</v>
      </c>
      <c r="E46" s="1"/>
      <c r="F46" s="13" t="s">
        <v>57</v>
      </c>
      <c r="K46" s="24"/>
      <c r="L46" s="24"/>
      <c r="N46" s="13" t="s">
        <v>57</v>
      </c>
      <c r="O46" s="13" t="s">
        <v>57</v>
      </c>
      <c r="P46" s="13" t="s">
        <v>57</v>
      </c>
      <c r="R46" s="13" t="s">
        <v>680</v>
      </c>
      <c r="S46" s="13" t="s">
        <v>680</v>
      </c>
    </row>
    <row r="47" spans="1:19" ht="14.25">
      <c r="C47" s="81">
        <f>IFERROR( INDEX( temp_file!$B$182:$B$262,MATCH($D47,temp_file!$A$182:$A$262,0)), "#N/A" )</f>
        <v>2</v>
      </c>
      <c r="D47" s="13" t="s">
        <v>708</v>
      </c>
      <c r="E47" s="1"/>
      <c r="F47" s="13" t="s">
        <v>56</v>
      </c>
      <c r="K47" s="24"/>
      <c r="L47" s="24"/>
      <c r="N47" s="13" t="s">
        <v>56</v>
      </c>
      <c r="O47" s="13" t="s">
        <v>56</v>
      </c>
      <c r="P47" s="13" t="s">
        <v>56</v>
      </c>
      <c r="R47" s="13" t="s">
        <v>681</v>
      </c>
      <c r="S47" s="13" t="s">
        <v>681</v>
      </c>
    </row>
    <row r="48" spans="1:19" ht="14.25">
      <c r="C48" s="81">
        <f>IFERROR( INDEX( temp_file!$B$182:$B$262,MATCH($D48,temp_file!$A$182:$A$262,0)), "#N/A" )</f>
        <v>1</v>
      </c>
      <c r="D48" s="13" t="s">
        <v>709</v>
      </c>
      <c r="E48" s="1"/>
      <c r="F48" s="13" t="s">
        <v>55</v>
      </c>
      <c r="K48" s="24"/>
      <c r="L48" s="24"/>
      <c r="N48" s="13" t="s">
        <v>55</v>
      </c>
      <c r="O48" s="13" t="s">
        <v>55</v>
      </c>
      <c r="P48" s="13" t="s">
        <v>55</v>
      </c>
      <c r="R48" s="13" t="s">
        <v>682</v>
      </c>
      <c r="S48" s="13" t="s">
        <v>682</v>
      </c>
    </row>
    <row r="49" spans="3:19">
      <c r="C49" s="81">
        <f>IFERROR( INDEX( temp_file!$B$182:$B$262,MATCH($D49,temp_file!$A$182:$A$262,0)), "#N/A" )</f>
        <v>3</v>
      </c>
      <c r="D49" s="13" t="s">
        <v>710</v>
      </c>
      <c r="F49" s="13" t="s">
        <v>54</v>
      </c>
      <c r="K49" s="24"/>
      <c r="L49" s="24"/>
      <c r="N49" s="13" t="s">
        <v>54</v>
      </c>
      <c r="O49" s="13" t="s">
        <v>54</v>
      </c>
      <c r="P49" s="13" t="s">
        <v>54</v>
      </c>
      <c r="R49" s="13" t="s">
        <v>683</v>
      </c>
      <c r="S49" s="13" t="s">
        <v>683</v>
      </c>
    </row>
    <row r="50" spans="3:19">
      <c r="C50" s="81">
        <f>IFERROR( INDEX( temp_file!$B$182:$B$262,MATCH($D50,temp_file!$A$182:$A$262,0)), "#N/A" )</f>
        <v>4</v>
      </c>
      <c r="D50" s="13" t="s">
        <v>711</v>
      </c>
      <c r="F50" s="13" t="s">
        <v>53</v>
      </c>
      <c r="K50" s="24"/>
      <c r="L50" s="24"/>
      <c r="N50" s="13" t="s">
        <v>53</v>
      </c>
      <c r="O50" s="13" t="s">
        <v>53</v>
      </c>
      <c r="P50" s="13" t="s">
        <v>53</v>
      </c>
      <c r="R50" s="13" t="s">
        <v>684</v>
      </c>
      <c r="S50" s="13" t="s">
        <v>684</v>
      </c>
    </row>
    <row r="51" spans="3:19">
      <c r="C51" s="81">
        <f>IFERROR( INDEX( temp_file!$B$182:$B$262,MATCH($D51,temp_file!$A$182:$A$262,0)), "#N/A" )</f>
        <v>17</v>
      </c>
      <c r="D51" s="1" t="s">
        <v>697</v>
      </c>
      <c r="K51" s="24"/>
      <c r="L51" s="24"/>
      <c r="N51" s="62"/>
      <c r="O51" s="62"/>
      <c r="P51" s="62"/>
      <c r="S51" s="1" t="s">
        <v>676</v>
      </c>
    </row>
    <row r="52" spans="3:19">
      <c r="C52" s="81">
        <f>IFERROR( INDEX( temp_file!$B$182:$B$262,MATCH($D52,temp_file!$A$182:$A$262,0)), "#N/A" )</f>
        <v>15</v>
      </c>
      <c r="D52" s="1" t="s">
        <v>698</v>
      </c>
      <c r="K52" s="24"/>
      <c r="L52" s="24"/>
      <c r="N52" s="62"/>
      <c r="O52" s="62"/>
      <c r="P52" s="62"/>
    </row>
    <row r="53" spans="3:19">
      <c r="C53" s="81">
        <f>IFERROR( INDEX( temp_file!$B$182:$B$262,MATCH($D53,temp_file!$A$182:$A$262,0)), "#N/A" )</f>
        <v>16</v>
      </c>
      <c r="D53" s="1" t="s">
        <v>699</v>
      </c>
      <c r="K53" s="24"/>
      <c r="L53" s="24"/>
      <c r="N53" s="62"/>
      <c r="O53" s="62"/>
      <c r="P53" s="62"/>
    </row>
    <row r="54" spans="3:19">
      <c r="C54" s="81">
        <f>IFERROR( INDEX( temp_file!$B$182:$B$262,MATCH($D54,temp_file!$A$182:$A$262,0)), "#N/A" )</f>
        <v>18</v>
      </c>
      <c r="D54" s="1" t="s">
        <v>700</v>
      </c>
      <c r="K54" s="24"/>
      <c r="L54" s="24"/>
      <c r="N54" s="62"/>
      <c r="O54" s="62"/>
      <c r="P54" s="62"/>
      <c r="S54" s="1" t="s">
        <v>677</v>
      </c>
    </row>
    <row r="55" spans="3:19" ht="14.25">
      <c r="C55" s="102">
        <f>IFERROR( INDEX( temp_file!$B$182:$B$262,MATCH($D55,temp_file!$A$182:$A$262,0)), "#N/A" )</f>
        <v>64</v>
      </c>
      <c r="D55" s="103" t="s">
        <v>2</v>
      </c>
      <c r="E55" s="24"/>
      <c r="K55" s="24"/>
      <c r="L55" s="24"/>
      <c r="N55" s="62"/>
      <c r="O55" s="62"/>
      <c r="P55" s="62"/>
      <c r="S55" s="24" t="s">
        <v>2</v>
      </c>
    </row>
    <row r="56" spans="3:19" ht="14.25">
      <c r="C56" s="102">
        <f>IFERROR( INDEX( temp_file!$B$182:$B$262,MATCH($D56,temp_file!$A$182:$A$262,0)), "#N/A" )</f>
        <v>65</v>
      </c>
      <c r="D56" s="103" t="s">
        <v>1</v>
      </c>
      <c r="E56" s="24"/>
      <c r="K56" s="24"/>
      <c r="L56" s="24"/>
      <c r="N56" s="62"/>
      <c r="O56" s="62"/>
      <c r="P56" s="62"/>
      <c r="S56" s="24" t="s">
        <v>1</v>
      </c>
    </row>
    <row r="57" spans="3:19" ht="14.25">
      <c r="C57" s="102">
        <f>IFERROR( INDEX( temp_file!$B$182:$B$262,MATCH($D57,temp_file!$A$182:$A$262,0)), "#N/A" )</f>
        <v>62</v>
      </c>
      <c r="D57" s="103" t="s">
        <v>59</v>
      </c>
      <c r="E57" s="24"/>
      <c r="K57" s="24"/>
      <c r="L57" s="24"/>
      <c r="N57" s="62"/>
      <c r="O57" s="62"/>
      <c r="P57" s="62"/>
      <c r="S57" s="24" t="s">
        <v>678</v>
      </c>
    </row>
    <row r="58" spans="3:19" ht="14.25">
      <c r="C58" s="81">
        <f>IFERROR( INDEX( temp_file!$B$182:$B$262,MATCH($D58,temp_file!$A$182:$A$262,0)), "#N/A" )</f>
        <v>45</v>
      </c>
      <c r="D58" s="1" t="s">
        <v>592</v>
      </c>
      <c r="E58" s="1"/>
      <c r="K58" s="24"/>
      <c r="L58" s="24"/>
      <c r="N58" s="62"/>
      <c r="O58" s="62"/>
      <c r="P58" s="62"/>
    </row>
    <row r="59" spans="3:19" ht="14.25">
      <c r="C59" s="81">
        <f>IFERROR( INDEX( temp_file!$B$182:$B$262,MATCH($D59,temp_file!$A$182:$A$262,0)), "#N/A" )</f>
        <v>46</v>
      </c>
      <c r="D59" s="1" t="s">
        <v>593</v>
      </c>
      <c r="E59" s="1"/>
      <c r="K59" s="24"/>
      <c r="L59" s="24"/>
      <c r="N59" s="62"/>
      <c r="O59" s="62"/>
      <c r="P59" s="62"/>
    </row>
    <row r="60" spans="3:19" ht="14.25">
      <c r="C60" s="81">
        <f>IFERROR( INDEX( temp_file!$B$182:$B$262,MATCH($D60,temp_file!$A$182:$A$262,0)), "#N/A" )</f>
        <v>67</v>
      </c>
      <c r="D60" s="8" t="s">
        <v>45</v>
      </c>
      <c r="E60" s="1"/>
      <c r="F60" s="8" t="s">
        <v>45</v>
      </c>
      <c r="K60" s="24"/>
      <c r="L60" s="24"/>
      <c r="N60" s="8" t="s">
        <v>45</v>
      </c>
      <c r="O60" s="8" t="s">
        <v>45</v>
      </c>
      <c r="P60" s="8" t="s">
        <v>45</v>
      </c>
      <c r="R60" s="8" t="s">
        <v>45</v>
      </c>
      <c r="S60" s="8" t="s">
        <v>45</v>
      </c>
    </row>
    <row r="61" spans="3:19" ht="14.25">
      <c r="C61" s="81">
        <f>IFERROR( INDEX( temp_file!$B$182:$B$262,MATCH($D61,temp_file!$A$182:$A$262,0)), "#N/A" )</f>
        <v>68</v>
      </c>
      <c r="D61" s="8" t="s">
        <v>46</v>
      </c>
      <c r="E61" s="1"/>
      <c r="F61" s="8" t="s">
        <v>46</v>
      </c>
      <c r="K61" s="24"/>
      <c r="L61" s="24"/>
      <c r="N61" s="8" t="s">
        <v>46</v>
      </c>
      <c r="O61" s="8" t="s">
        <v>46</v>
      </c>
      <c r="P61" s="8" t="s">
        <v>46</v>
      </c>
      <c r="R61" s="8" t="s">
        <v>46</v>
      </c>
      <c r="S61" s="8" t="s">
        <v>46</v>
      </c>
    </row>
    <row r="62" spans="3:19" ht="14.25">
      <c r="C62" s="81">
        <f>IFERROR( INDEX( temp_file!$B$182:$B$262,MATCH($D62,temp_file!$A$182:$A$262,0)), "#N/A" )</f>
        <v>69</v>
      </c>
      <c r="D62" s="8" t="s">
        <v>47</v>
      </c>
      <c r="E62" s="1"/>
      <c r="F62" s="8" t="s">
        <v>47</v>
      </c>
      <c r="K62" s="24"/>
      <c r="L62" s="24"/>
      <c r="N62" s="8" t="s">
        <v>47</v>
      </c>
      <c r="O62" s="8" t="s">
        <v>47</v>
      </c>
      <c r="P62" s="8" t="s">
        <v>47</v>
      </c>
      <c r="R62" s="8" t="s">
        <v>47</v>
      </c>
      <c r="S62" s="8" t="s">
        <v>47</v>
      </c>
    </row>
    <row r="63" spans="3:19" ht="14.25">
      <c r="C63" s="81">
        <f>IFERROR( INDEX( temp_file!$B$182:$B$262,MATCH($D63,temp_file!$A$182:$A$262,0)), "#N/A" )</f>
        <v>70</v>
      </c>
      <c r="D63" s="8" t="s">
        <v>48</v>
      </c>
      <c r="E63" s="1"/>
      <c r="F63" s="8" t="s">
        <v>48</v>
      </c>
      <c r="K63" s="24"/>
      <c r="L63" s="24"/>
      <c r="N63" s="8" t="s">
        <v>48</v>
      </c>
      <c r="O63" s="8" t="s">
        <v>48</v>
      </c>
      <c r="P63" s="8" t="s">
        <v>48</v>
      </c>
      <c r="R63" s="8" t="s">
        <v>48</v>
      </c>
      <c r="S63" s="8" t="s">
        <v>48</v>
      </c>
    </row>
    <row r="64" spans="3:19" ht="14.25">
      <c r="C64" s="81">
        <f>IFERROR( INDEX( temp_file!$B$182:$B$262,MATCH($D64,temp_file!$A$182:$A$262,0)), "#N/A" )</f>
        <v>72</v>
      </c>
      <c r="D64" s="8" t="s">
        <v>705</v>
      </c>
      <c r="E64" s="1"/>
      <c r="F64" s="8" t="s">
        <v>595</v>
      </c>
      <c r="K64" s="24"/>
      <c r="L64" s="24"/>
      <c r="N64" s="61"/>
      <c r="O64" s="61"/>
      <c r="P64" s="61"/>
    </row>
    <row r="65" spans="3:16">
      <c r="C65" s="81">
        <f>IFERROR( INDEX( temp_file!$B$182:$B$262,MATCH($D65,temp_file!$A$182:$A$262,0)), "#N/A" )</f>
        <v>34</v>
      </c>
      <c r="D65" s="67" t="s">
        <v>52</v>
      </c>
      <c r="K65" s="24"/>
      <c r="L65" s="24"/>
      <c r="N65" s="62"/>
      <c r="O65" s="62"/>
      <c r="P65" s="62"/>
    </row>
    <row r="66" spans="3:16">
      <c r="C66" s="81">
        <f>IFERROR( INDEX( temp_file!$B$182:$B$262,MATCH($D66,temp_file!$A$182:$A$262,0)), "#N/A" )</f>
        <v>35</v>
      </c>
      <c r="D66" s="67" t="s">
        <v>696</v>
      </c>
      <c r="K66" s="24"/>
      <c r="L66" s="24"/>
      <c r="N66" s="62"/>
      <c r="O66" s="62"/>
      <c r="P66" s="62"/>
    </row>
    <row r="67" spans="3:16">
      <c r="D67" s="1"/>
      <c r="K67" s="24"/>
      <c r="L67" s="24"/>
      <c r="N67" s="62"/>
      <c r="O67" s="62"/>
      <c r="P67" s="62"/>
    </row>
    <row r="68" spans="3:16">
      <c r="D68" s="1"/>
      <c r="K68" s="24"/>
      <c r="L68" s="24"/>
      <c r="N68" s="62"/>
      <c r="O68" s="62"/>
      <c r="P68" s="62"/>
    </row>
    <row r="69" spans="3:16">
      <c r="D69" s="1"/>
      <c r="K69" s="24"/>
      <c r="L69" s="24"/>
      <c r="N69" s="62"/>
      <c r="O69" s="62"/>
      <c r="P69" s="62"/>
    </row>
    <row r="70" spans="3:16">
      <c r="D70" s="1"/>
      <c r="K70" s="24"/>
      <c r="L70" s="24"/>
      <c r="N70" s="62"/>
      <c r="O70" s="62"/>
      <c r="P70" s="62"/>
    </row>
    <row r="71" spans="3:16">
      <c r="D71" s="1"/>
      <c r="K71" s="24"/>
      <c r="L71" s="24"/>
      <c r="N71" s="62"/>
      <c r="O71" s="62"/>
      <c r="P71" s="62"/>
    </row>
    <row r="72" spans="3:16">
      <c r="D72" s="1"/>
      <c r="K72" s="24"/>
      <c r="L72" s="24"/>
      <c r="N72" s="62"/>
      <c r="O72" s="62"/>
      <c r="P72" s="62"/>
    </row>
    <row r="73" spans="3:16">
      <c r="D73" s="1"/>
      <c r="K73" s="24"/>
      <c r="L73" s="24"/>
      <c r="N73" s="62"/>
      <c r="O73" s="62"/>
      <c r="P73" s="62"/>
    </row>
    <row r="74" spans="3:16">
      <c r="D74" s="93"/>
      <c r="K74" s="24"/>
      <c r="L74" s="24"/>
      <c r="N74" s="62"/>
      <c r="O74" s="62"/>
      <c r="P74" s="62"/>
    </row>
    <row r="75" spans="3:16">
      <c r="D75" s="93"/>
      <c r="K75" s="24"/>
      <c r="L75" s="24"/>
      <c r="N75" s="62"/>
      <c r="O75" s="62"/>
      <c r="P75" s="62"/>
    </row>
    <row r="76" spans="3:16">
      <c r="D76" s="93"/>
      <c r="K76" s="24"/>
      <c r="L76" s="24"/>
      <c r="N76" s="62"/>
      <c r="O76" s="62"/>
      <c r="P76" s="62"/>
    </row>
    <row r="77" spans="3:16">
      <c r="D77" s="93"/>
      <c r="K77" s="24"/>
      <c r="L77" s="24"/>
      <c r="N77" s="62"/>
      <c r="O77" s="62"/>
      <c r="P77" s="62"/>
    </row>
    <row r="78" spans="3:16">
      <c r="D78" s="93"/>
      <c r="K78" s="24"/>
      <c r="L78" s="24"/>
      <c r="N78" s="62"/>
      <c r="O78" s="62"/>
      <c r="P78" s="62"/>
    </row>
    <row r="79" spans="3:16">
      <c r="D79" s="93"/>
      <c r="K79" s="24"/>
      <c r="L79" s="24"/>
      <c r="N79" s="62"/>
      <c r="O79" s="62"/>
      <c r="P79" s="62"/>
    </row>
    <row r="80" spans="3:16">
      <c r="D80" s="93"/>
      <c r="K80" s="24"/>
      <c r="L80" s="24"/>
      <c r="N80" s="62"/>
      <c r="O80" s="62"/>
      <c r="P80" s="62"/>
    </row>
    <row r="81" spans="4:16">
      <c r="D81" s="93"/>
      <c r="K81" s="24"/>
      <c r="L81" s="24"/>
      <c r="N81" s="62"/>
      <c r="O81" s="62"/>
      <c r="P81" s="62"/>
    </row>
    <row r="82" spans="4:16">
      <c r="D82" s="93"/>
      <c r="K82" s="24"/>
      <c r="L82" s="24"/>
      <c r="N82" s="62"/>
      <c r="O82" s="62"/>
      <c r="P82" s="62"/>
    </row>
    <row r="83" spans="4:16">
      <c r="D83" s="93"/>
      <c r="K83" s="24"/>
      <c r="L83" s="24"/>
      <c r="N83" s="62"/>
      <c r="O83" s="62"/>
      <c r="P83" s="62"/>
    </row>
    <row r="84" spans="4:16">
      <c r="D84" s="93"/>
      <c r="K84" s="24"/>
      <c r="L84" s="24"/>
      <c r="N84" s="62"/>
      <c r="O84" s="62"/>
      <c r="P84" s="62"/>
    </row>
    <row r="85" spans="4:16">
      <c r="D85" s="93"/>
      <c r="K85" s="24"/>
      <c r="M85" s="62"/>
      <c r="N85" s="62"/>
    </row>
    <row r="86" spans="4:16">
      <c r="D86" s="93"/>
      <c r="K86" s="24"/>
      <c r="M86" s="62"/>
      <c r="N86" s="62"/>
    </row>
    <row r="87" spans="4:16">
      <c r="D87" s="93"/>
      <c r="K87" s="24"/>
      <c r="M87" s="62"/>
      <c r="N87" s="62"/>
    </row>
    <row r="88" spans="4:16">
      <c r="D88" s="93"/>
      <c r="K88" s="24"/>
      <c r="M88" s="62"/>
      <c r="N88" s="62"/>
    </row>
    <row r="89" spans="4:16">
      <c r="D89" s="93"/>
      <c r="K89" s="24"/>
      <c r="M89" s="62"/>
      <c r="N89" s="62"/>
    </row>
    <row r="90" spans="4:16">
      <c r="K90" s="24"/>
      <c r="M90" s="62"/>
      <c r="N90" s="62"/>
    </row>
    <row r="91" spans="4:16">
      <c r="K91" s="24"/>
      <c r="M91" s="62"/>
      <c r="N91" s="62"/>
    </row>
  </sheetData>
  <autoFilter ref="A1:S1"/>
  <phoneticPr fontId="13" type="noConversion"/>
  <conditionalFormatting sqref="J34:J38 I43:I44 L23:L26 A10:A14 F41:F42 F23:F27 A2:B4 A23:A25 A34:A40 E52:E54">
    <cfRule type="containsText" dxfId="285" priority="778" operator="containsText" text="#N">
      <formula>NOT(ISERROR(SEARCH("#N",A2)))</formula>
    </cfRule>
    <cfRule type="containsText" dxfId="284" priority="779" operator="containsText" text="#N/A">
      <formula>NOT(ISERROR(SEARCH("#N/A",A2)))</formula>
    </cfRule>
  </conditionalFormatting>
  <conditionalFormatting sqref="F45:F50">
    <cfRule type="containsText" dxfId="283" priority="798" operator="containsText" text="#N">
      <formula>NOT(ISERROR(SEARCH("#N",F45)))</formula>
    </cfRule>
    <cfRule type="containsText" dxfId="282" priority="799" operator="containsText" text="#N/A">
      <formula>NOT(ISERROR(SEARCH("#N/A",F45)))</formula>
    </cfRule>
  </conditionalFormatting>
  <conditionalFormatting sqref="F10:F11">
    <cfRule type="containsText" dxfId="281" priority="796" operator="containsText" text="#N">
      <formula>NOT(ISERROR(SEARCH("#N",F10)))</formula>
    </cfRule>
    <cfRule type="containsText" dxfId="280" priority="797" operator="containsText" text="#N/A">
      <formula>NOT(ISERROR(SEARCH("#N/A",F10)))</formula>
    </cfRule>
  </conditionalFormatting>
  <conditionalFormatting sqref="F28:F33">
    <cfRule type="containsText" dxfId="279" priority="794" operator="containsText" text="#N">
      <formula>NOT(ISERROR(SEARCH("#N",F28)))</formula>
    </cfRule>
    <cfRule type="containsText" dxfId="278" priority="795" operator="containsText" text="#N/A">
      <formula>NOT(ISERROR(SEARCH("#N/A",F28)))</formula>
    </cfRule>
  </conditionalFormatting>
  <conditionalFormatting sqref="F21:F22">
    <cfRule type="containsText" dxfId="277" priority="792" operator="containsText" text="#N">
      <formula>NOT(ISERROR(SEARCH("#N",F21)))</formula>
    </cfRule>
    <cfRule type="containsText" dxfId="276" priority="793" operator="containsText" text="#N/A">
      <formula>NOT(ISERROR(SEARCH("#N/A",F21)))</formula>
    </cfRule>
  </conditionalFormatting>
  <conditionalFormatting sqref="H23:I26">
    <cfRule type="containsText" dxfId="275" priority="790" operator="containsText" text="#N">
      <formula>NOT(ISERROR(SEARCH("#N",H23)))</formula>
    </cfRule>
    <cfRule type="containsText" dxfId="274" priority="791" operator="containsText" text="#N/A">
      <formula>NOT(ISERROR(SEARCH("#N/A",H23)))</formula>
    </cfRule>
  </conditionalFormatting>
  <conditionalFormatting sqref="H21:H22">
    <cfRule type="containsText" dxfId="273" priority="764" operator="containsText" text="#N">
      <formula>NOT(ISERROR(SEARCH("#N",H21)))</formula>
    </cfRule>
    <cfRule type="containsText" dxfId="272" priority="765" operator="containsText" text="#N/A">
      <formula>NOT(ISERROR(SEARCH("#N/A",H21)))</formula>
    </cfRule>
  </conditionalFormatting>
  <conditionalFormatting sqref="F18:F19">
    <cfRule type="containsText" dxfId="271" priority="788" operator="containsText" text="#N">
      <formula>NOT(ISERROR(SEARCH("#N",F18)))</formula>
    </cfRule>
    <cfRule type="containsText" dxfId="270" priority="789" operator="containsText" text="#N/A">
      <formula>NOT(ISERROR(SEARCH("#N/A",F18)))</formula>
    </cfRule>
  </conditionalFormatting>
  <conditionalFormatting sqref="F34:F40">
    <cfRule type="containsText" dxfId="269" priority="786" operator="containsText" text="#N">
      <formula>NOT(ISERROR(SEARCH("#N",F34)))</formula>
    </cfRule>
    <cfRule type="containsText" dxfId="268" priority="787" operator="containsText" text="#N/A">
      <formula>NOT(ISERROR(SEARCH("#N/A",F34)))</formula>
    </cfRule>
  </conditionalFormatting>
  <conditionalFormatting sqref="I32:I33">
    <cfRule type="containsText" dxfId="267" priority="784" operator="containsText" text="#N">
      <formula>NOT(ISERROR(SEARCH("#N",I32)))</formula>
    </cfRule>
    <cfRule type="containsText" dxfId="266" priority="785" operator="containsText" text="#N/A">
      <formula>NOT(ISERROR(SEARCH("#N/A",I32)))</formula>
    </cfRule>
  </conditionalFormatting>
  <conditionalFormatting sqref="J39:J40">
    <cfRule type="containsText" dxfId="265" priority="782" operator="containsText" text="#N">
      <formula>NOT(ISERROR(SEARCH("#N",J39)))</formula>
    </cfRule>
    <cfRule type="containsText" dxfId="264" priority="783" operator="containsText" text="#N/A">
      <formula>NOT(ISERROR(SEARCH("#N/A",J39)))</formula>
    </cfRule>
  </conditionalFormatting>
  <conditionalFormatting sqref="H27">
    <cfRule type="containsText" dxfId="263" priority="762" operator="containsText" text="#N">
      <formula>NOT(ISERROR(SEARCH("#N",H27)))</formula>
    </cfRule>
    <cfRule type="containsText" dxfId="262" priority="763" operator="containsText" text="#N/A">
      <formula>NOT(ISERROR(SEARCH("#N/A",H27)))</formula>
    </cfRule>
  </conditionalFormatting>
  <conditionalFormatting sqref="J23:K26">
    <cfRule type="containsText" dxfId="261" priority="780" operator="containsText" text="#N">
      <formula>NOT(ISERROR(SEARCH("#N",J23)))</formula>
    </cfRule>
    <cfRule type="containsText" dxfId="260" priority="781" operator="containsText" text="#N/A">
      <formula>NOT(ISERROR(SEARCH("#N/A",J23)))</formula>
    </cfRule>
  </conditionalFormatting>
  <conditionalFormatting sqref="H40">
    <cfRule type="containsText" dxfId="259" priority="756" operator="containsText" text="#N">
      <formula>NOT(ISERROR(SEARCH("#N",H40)))</formula>
    </cfRule>
    <cfRule type="containsText" dxfId="258" priority="757" operator="containsText" text="#N/A">
      <formula>NOT(ISERROR(SEARCH("#N/A",H40)))</formula>
    </cfRule>
  </conditionalFormatting>
  <conditionalFormatting sqref="H38">
    <cfRule type="containsText" dxfId="257" priority="758" operator="containsText" text="#N">
      <formula>NOT(ISERROR(SEARCH("#N",H38)))</formula>
    </cfRule>
    <cfRule type="containsText" dxfId="256" priority="759" operator="containsText" text="#N/A">
      <formula>NOT(ISERROR(SEARCH("#N/A",H38)))</formula>
    </cfRule>
  </conditionalFormatting>
  <conditionalFormatting sqref="H35:H37">
    <cfRule type="containsText" dxfId="255" priority="760" operator="containsText" text="#N">
      <formula>NOT(ISERROR(SEARCH("#N",H35)))</formula>
    </cfRule>
    <cfRule type="containsText" dxfId="254" priority="761" operator="containsText" text="#N/A">
      <formula>NOT(ISERROR(SEARCH("#N/A",H35)))</formula>
    </cfRule>
  </conditionalFormatting>
  <conditionalFormatting sqref="I35:I38">
    <cfRule type="containsText" dxfId="253" priority="722" operator="containsText" text="#N">
      <formula>NOT(ISERROR(SEARCH("#N",I35)))</formula>
    </cfRule>
    <cfRule type="containsText" dxfId="252" priority="723" operator="containsText" text="#N/A">
      <formula>NOT(ISERROR(SEARCH("#N/A",I35)))</formula>
    </cfRule>
  </conditionalFormatting>
  <conditionalFormatting sqref="I34:I38">
    <cfRule type="containsText" dxfId="251" priority="720" operator="containsText" text="#N">
      <formula>NOT(ISERROR(SEARCH("#N",I34)))</formula>
    </cfRule>
    <cfRule type="containsText" dxfId="250" priority="721" operator="containsText" text="#N/A">
      <formula>NOT(ISERROR(SEARCH("#N/A",I34)))</formula>
    </cfRule>
  </conditionalFormatting>
  <conditionalFormatting sqref="F8:F9">
    <cfRule type="containsText" dxfId="249" priority="714" operator="containsText" text="#N">
      <formula>NOT(ISERROR(SEARCH("#N",F8)))</formula>
    </cfRule>
    <cfRule type="containsText" dxfId="248" priority="715" operator="containsText" text="#N/A">
      <formula>NOT(ISERROR(SEARCH("#N/A",F8)))</formula>
    </cfRule>
  </conditionalFormatting>
  <conditionalFormatting sqref="F10:F11">
    <cfRule type="containsText" dxfId="247" priority="716" operator="containsText" text="#N">
      <formula>NOT(ISERROR(SEARCH("#N",F10)))</formula>
    </cfRule>
    <cfRule type="containsText" dxfId="246" priority="717" operator="containsText" text="#N/A">
      <formula>NOT(ISERROR(SEARCH("#N/A",F10)))</formula>
    </cfRule>
  </conditionalFormatting>
  <conditionalFormatting sqref="H16:H19">
    <cfRule type="containsText" dxfId="245" priority="706" operator="containsText" text="#N">
      <formula>NOT(ISERROR(SEARCH("#N",H16)))</formula>
    </cfRule>
    <cfRule type="containsText" dxfId="244" priority="707" operator="containsText" text="#N/A">
      <formula>NOT(ISERROR(SEARCH("#N/A",H16)))</formula>
    </cfRule>
  </conditionalFormatting>
  <conditionalFormatting sqref="J28">
    <cfRule type="containsText" dxfId="243" priority="702" operator="containsText" text="#N">
      <formula>NOT(ISERROR(SEARCH("#N",J28)))</formula>
    </cfRule>
    <cfRule type="containsText" dxfId="242" priority="703" operator="containsText" text="#N/A">
      <formula>NOT(ISERROR(SEARCH("#N/A",J28)))</formula>
    </cfRule>
  </conditionalFormatting>
  <conditionalFormatting sqref="K43">
    <cfRule type="containsText" dxfId="241" priority="700" operator="containsText" text="#N">
      <formula>NOT(ISERROR(SEARCH("#N",K43)))</formula>
    </cfRule>
    <cfRule type="containsText" dxfId="240" priority="701" operator="containsText" text="#N/A">
      <formula>NOT(ISERROR(SEARCH("#N/A",K43)))</formula>
    </cfRule>
  </conditionalFormatting>
  <conditionalFormatting sqref="J29:J33">
    <cfRule type="containsText" dxfId="239" priority="704" operator="containsText" text="#N">
      <formula>NOT(ISERROR(SEARCH("#N",J29)))</formula>
    </cfRule>
    <cfRule type="containsText" dxfId="238" priority="705" operator="containsText" text="#N/A">
      <formula>NOT(ISERROR(SEARCH("#N/A",J29)))</formula>
    </cfRule>
  </conditionalFormatting>
  <conditionalFormatting sqref="I14">
    <cfRule type="containsText" dxfId="237" priority="680" operator="containsText" text="#N">
      <formula>NOT(ISERROR(SEARCH("#N",I14)))</formula>
    </cfRule>
    <cfRule type="containsText" dxfId="236" priority="681" operator="containsText" text="#N/A">
      <formula>NOT(ISERROR(SEARCH("#N/A",I14)))</formula>
    </cfRule>
  </conditionalFormatting>
  <conditionalFormatting sqref="I15">
    <cfRule type="containsText" dxfId="235" priority="678" operator="containsText" text="#N">
      <formula>NOT(ISERROR(SEARCH("#N",I15)))</formula>
    </cfRule>
    <cfRule type="containsText" dxfId="234" priority="679" operator="containsText" text="#N/A">
      <formula>NOT(ISERROR(SEARCH("#N/A",I15)))</formula>
    </cfRule>
  </conditionalFormatting>
  <conditionalFormatting sqref="I16:I20">
    <cfRule type="containsText" dxfId="233" priority="682" operator="containsText" text="#N">
      <formula>NOT(ISERROR(SEARCH("#N",I16)))</formula>
    </cfRule>
    <cfRule type="containsText" dxfId="232" priority="683" operator="containsText" text="#N/A">
      <formula>NOT(ISERROR(SEARCH("#N/A",I16)))</formula>
    </cfRule>
  </conditionalFormatting>
  <conditionalFormatting sqref="N10:N11">
    <cfRule type="containsText" dxfId="231" priority="664" operator="containsText" text="#N">
      <formula>NOT(ISERROR(SEARCH("#N",N10)))</formula>
    </cfRule>
    <cfRule type="containsText" dxfId="230" priority="665" operator="containsText" text="#N/A">
      <formula>NOT(ISERROR(SEARCH("#N/A",N10)))</formula>
    </cfRule>
  </conditionalFormatting>
  <conditionalFormatting sqref="I39:I40">
    <cfRule type="containsText" dxfId="229" priority="672" operator="containsText" text="#N">
      <formula>NOT(ISERROR(SEARCH("#N",I39)))</formula>
    </cfRule>
    <cfRule type="containsText" dxfId="228" priority="673" operator="containsText" text="#N/A">
      <formula>NOT(ISERROR(SEARCH("#N/A",I39)))</formula>
    </cfRule>
  </conditionalFormatting>
  <conditionalFormatting sqref="H32:H33">
    <cfRule type="containsText" dxfId="227" priority="670" operator="containsText" text="#N">
      <formula>NOT(ISERROR(SEARCH("#N",H32)))</formula>
    </cfRule>
    <cfRule type="containsText" dxfId="226" priority="671" operator="containsText" text="#N/A">
      <formula>NOT(ISERROR(SEARCH("#N/A",H32)))</formula>
    </cfRule>
  </conditionalFormatting>
  <conditionalFormatting sqref="N14:N15">
    <cfRule type="containsText" dxfId="225" priority="642" operator="containsText" text="#N">
      <formula>NOT(ISERROR(SEARCH("#N",N14)))</formula>
    </cfRule>
    <cfRule type="containsText" dxfId="224" priority="643" operator="containsText" text="#N/A">
      <formula>NOT(ISERROR(SEARCH("#N/A",N14)))</formula>
    </cfRule>
  </conditionalFormatting>
  <conditionalFormatting sqref="N10:N11">
    <cfRule type="containsText" dxfId="223" priority="666" operator="containsText" text="#N">
      <formula>NOT(ISERROR(SEARCH("#N",N10)))</formula>
    </cfRule>
    <cfRule type="containsText" dxfId="222" priority="667" operator="containsText" text="#N/A">
      <formula>NOT(ISERROR(SEARCH("#N/A",N10)))</formula>
    </cfRule>
  </conditionalFormatting>
  <conditionalFormatting sqref="N8:N9">
    <cfRule type="containsText" dxfId="221" priority="662" operator="containsText" text="#N">
      <formula>NOT(ISERROR(SEARCH("#N",N8)))</formula>
    </cfRule>
    <cfRule type="containsText" dxfId="220" priority="663" operator="containsText" text="#N/A">
      <formula>NOT(ISERROR(SEARCH("#N/A",N8)))</formula>
    </cfRule>
  </conditionalFormatting>
  <conditionalFormatting sqref="N45:N50">
    <cfRule type="containsText" dxfId="219" priority="660" operator="containsText" text="#N">
      <formula>NOT(ISERROR(SEARCH("#N",N45)))</formula>
    </cfRule>
    <cfRule type="containsText" dxfId="218" priority="661" operator="containsText" text="#N/A">
      <formula>NOT(ISERROR(SEARCH("#N/A",N45)))</formula>
    </cfRule>
  </conditionalFormatting>
  <conditionalFormatting sqref="N32:N33">
    <cfRule type="containsText" dxfId="217" priority="626" operator="containsText" text="#N">
      <formula>NOT(ISERROR(SEARCH("#N",N32)))</formula>
    </cfRule>
    <cfRule type="containsText" dxfId="216" priority="627" operator="containsText" text="#N/A">
      <formula>NOT(ISERROR(SEARCH("#N/A",N32)))</formula>
    </cfRule>
  </conditionalFormatting>
  <conditionalFormatting sqref="O34:O40">
    <cfRule type="containsText" dxfId="215" priority="648" operator="containsText" text="#N">
      <formula>NOT(ISERROR(SEARCH("#N",O34)))</formula>
    </cfRule>
    <cfRule type="containsText" dxfId="214" priority="649" operator="containsText" text="#N/A">
      <formula>NOT(ISERROR(SEARCH("#N/A",O34)))</formula>
    </cfRule>
  </conditionalFormatting>
  <conditionalFormatting sqref="O10:O11">
    <cfRule type="containsText" dxfId="213" priority="658" operator="containsText" text="#N">
      <formula>NOT(ISERROR(SEARCH("#N",O10)))</formula>
    </cfRule>
    <cfRule type="containsText" dxfId="212" priority="659" operator="containsText" text="#N/A">
      <formula>NOT(ISERROR(SEARCH("#N/A",O10)))</formula>
    </cfRule>
  </conditionalFormatting>
  <conditionalFormatting sqref="O10:O11">
    <cfRule type="containsText" dxfId="211" priority="656" operator="containsText" text="#N">
      <formula>NOT(ISERROR(SEARCH("#N",O10)))</formula>
    </cfRule>
    <cfRule type="containsText" dxfId="210" priority="657" operator="containsText" text="#N/A">
      <formula>NOT(ISERROR(SEARCH("#N/A",O10)))</formula>
    </cfRule>
  </conditionalFormatting>
  <conditionalFormatting sqref="O8:O9">
    <cfRule type="containsText" dxfId="209" priority="654" operator="containsText" text="#N">
      <formula>NOT(ISERROR(SEARCH("#N",O8)))</formula>
    </cfRule>
    <cfRule type="containsText" dxfId="208" priority="655" operator="containsText" text="#N/A">
      <formula>NOT(ISERROR(SEARCH("#N/A",O8)))</formula>
    </cfRule>
  </conditionalFormatting>
  <conditionalFormatting sqref="O45:O50">
    <cfRule type="containsText" dxfId="207" priority="652" operator="containsText" text="#N">
      <formula>NOT(ISERROR(SEARCH("#N",O45)))</formula>
    </cfRule>
    <cfRule type="containsText" dxfId="206" priority="653" operator="containsText" text="#N/A">
      <formula>NOT(ISERROR(SEARCH("#N/A",O45)))</formula>
    </cfRule>
  </conditionalFormatting>
  <conditionalFormatting sqref="N34:N40">
    <cfRule type="containsText" dxfId="205" priority="650" operator="containsText" text="#N">
      <formula>NOT(ISERROR(SEARCH("#N",N34)))</formula>
    </cfRule>
    <cfRule type="containsText" dxfId="204" priority="651" operator="containsText" text="#N/A">
      <formula>NOT(ISERROR(SEARCH("#N/A",N34)))</formula>
    </cfRule>
  </conditionalFormatting>
  <conditionalFormatting sqref="N28:N31">
    <cfRule type="containsText" dxfId="203" priority="646" operator="containsText" text="#N">
      <formula>NOT(ISERROR(SEARCH("#N",N28)))</formula>
    </cfRule>
    <cfRule type="containsText" dxfId="202" priority="647" operator="containsText" text="#N/A">
      <formula>NOT(ISERROR(SEARCH("#N/A",N28)))</formula>
    </cfRule>
  </conditionalFormatting>
  <conditionalFormatting sqref="O28:O31">
    <cfRule type="containsText" dxfId="201" priority="644" operator="containsText" text="#N">
      <formula>NOT(ISERROR(SEARCH("#N",O28)))</formula>
    </cfRule>
    <cfRule type="containsText" dxfId="200" priority="645" operator="containsText" text="#N/A">
      <formula>NOT(ISERROR(SEARCH("#N/A",O28)))</formula>
    </cfRule>
  </conditionalFormatting>
  <conditionalFormatting sqref="O14:O15">
    <cfRule type="containsText" dxfId="199" priority="640" operator="containsText" text="#N">
      <formula>NOT(ISERROR(SEARCH("#N",O14)))</formula>
    </cfRule>
    <cfRule type="containsText" dxfId="198" priority="641" operator="containsText" text="#N/A">
      <formula>NOT(ISERROR(SEARCH("#N/A",O14)))</formula>
    </cfRule>
  </conditionalFormatting>
  <conditionalFormatting sqref="N44:P44">
    <cfRule type="containsText" dxfId="197" priority="638" operator="containsText" text="#N">
      <formula>NOT(ISERROR(SEARCH("#N",N44)))</formula>
    </cfRule>
    <cfRule type="containsText" dxfId="196" priority="639" operator="containsText" text="#N/A">
      <formula>NOT(ISERROR(SEARCH("#N/A",N44)))</formula>
    </cfRule>
  </conditionalFormatting>
  <conditionalFormatting sqref="K16:K19">
    <cfRule type="containsText" dxfId="195" priority="636" operator="containsText" text="#N">
      <formula>NOT(ISERROR(SEARCH("#N",K16)))</formula>
    </cfRule>
    <cfRule type="containsText" dxfId="194" priority="637" operator="containsText" text="#N/A">
      <formula>NOT(ISERROR(SEARCH("#N/A",K16)))</formula>
    </cfRule>
  </conditionalFormatting>
  <conditionalFormatting sqref="N16:N19">
    <cfRule type="containsText" dxfId="193" priority="634" operator="containsText" text="#N">
      <formula>NOT(ISERROR(SEARCH("#N",N16)))</formula>
    </cfRule>
    <cfRule type="containsText" dxfId="192" priority="635" operator="containsText" text="#N/A">
      <formula>NOT(ISERROR(SEARCH("#N/A",N16)))</formula>
    </cfRule>
  </conditionalFormatting>
  <conditionalFormatting sqref="O16:O19">
    <cfRule type="containsText" dxfId="191" priority="632" operator="containsText" text="#N">
      <formula>NOT(ISERROR(SEARCH("#N",O16)))</formula>
    </cfRule>
    <cfRule type="containsText" dxfId="190" priority="633" operator="containsText" text="#N/A">
      <formula>NOT(ISERROR(SEARCH("#N/A",O16)))</formula>
    </cfRule>
  </conditionalFormatting>
  <conditionalFormatting sqref="P23:P26">
    <cfRule type="containsText" dxfId="189" priority="602" operator="containsText" text="#N">
      <formula>NOT(ISERROR(SEARCH("#N",P23)))</formula>
    </cfRule>
    <cfRule type="containsText" dxfId="188" priority="603" operator="containsText" text="#N/A">
      <formula>NOT(ISERROR(SEARCH("#N/A",P23)))</formula>
    </cfRule>
  </conditionalFormatting>
  <conditionalFormatting sqref="F16:F17">
    <cfRule type="containsText" dxfId="187" priority="630" operator="containsText" text="#N">
      <formula>NOT(ISERROR(SEARCH("#N",F16)))</formula>
    </cfRule>
    <cfRule type="containsText" dxfId="186" priority="631" operator="containsText" text="#N/A">
      <formula>NOT(ISERROR(SEARCH("#N/A",F16)))</formula>
    </cfRule>
  </conditionalFormatting>
  <conditionalFormatting sqref="F14:F15">
    <cfRule type="containsText" dxfId="185" priority="628" operator="containsText" text="#N">
      <formula>NOT(ISERROR(SEARCH("#N",F14)))</formula>
    </cfRule>
    <cfRule type="containsText" dxfId="184" priority="629" operator="containsText" text="#N/A">
      <formula>NOT(ISERROR(SEARCH("#N/A",F14)))</formula>
    </cfRule>
  </conditionalFormatting>
  <conditionalFormatting sqref="I21:I22">
    <cfRule type="containsText" dxfId="183" priority="624" operator="containsText" text="#N">
      <formula>NOT(ISERROR(SEARCH("#N",I21)))</formula>
    </cfRule>
    <cfRule type="containsText" dxfId="182" priority="625" operator="containsText" text="#N/A">
      <formula>NOT(ISERROR(SEARCH("#N/A",I21)))</formula>
    </cfRule>
  </conditionalFormatting>
  <conditionalFormatting sqref="N23:N26">
    <cfRule type="containsText" dxfId="181" priority="622" operator="containsText" text="#N">
      <formula>NOT(ISERROR(SEARCH("#N",N23)))</formula>
    </cfRule>
    <cfRule type="containsText" dxfId="180" priority="623" operator="containsText" text="#N/A">
      <formula>NOT(ISERROR(SEARCH("#N/A",N23)))</formula>
    </cfRule>
  </conditionalFormatting>
  <conditionalFormatting sqref="N27">
    <cfRule type="containsText" dxfId="179" priority="620" operator="containsText" text="#N">
      <formula>NOT(ISERROR(SEARCH("#N",N27)))</formula>
    </cfRule>
    <cfRule type="containsText" dxfId="178" priority="621" operator="containsText" text="#N/A">
      <formula>NOT(ISERROR(SEARCH("#N/A",N27)))</formula>
    </cfRule>
  </conditionalFormatting>
  <conditionalFormatting sqref="P10:P11">
    <cfRule type="containsText" dxfId="177" priority="618" operator="containsText" text="#N">
      <formula>NOT(ISERROR(SEARCH("#N",P10)))</formula>
    </cfRule>
    <cfRule type="containsText" dxfId="176" priority="619" operator="containsText" text="#N/A">
      <formula>NOT(ISERROR(SEARCH("#N/A",P10)))</formula>
    </cfRule>
  </conditionalFormatting>
  <conditionalFormatting sqref="P10:P11">
    <cfRule type="containsText" dxfId="175" priority="616" operator="containsText" text="#N">
      <formula>NOT(ISERROR(SEARCH("#N",P10)))</formula>
    </cfRule>
    <cfRule type="containsText" dxfId="174" priority="617" operator="containsText" text="#N/A">
      <formula>NOT(ISERROR(SEARCH("#N/A",P10)))</formula>
    </cfRule>
  </conditionalFormatting>
  <conditionalFormatting sqref="P8:P9">
    <cfRule type="containsText" dxfId="173" priority="614" operator="containsText" text="#N">
      <formula>NOT(ISERROR(SEARCH("#N",P8)))</formula>
    </cfRule>
    <cfRule type="containsText" dxfId="172" priority="615" operator="containsText" text="#N/A">
      <formula>NOT(ISERROR(SEARCH("#N/A",P8)))</formula>
    </cfRule>
  </conditionalFormatting>
  <conditionalFormatting sqref="P45:P50">
    <cfRule type="containsText" dxfId="171" priority="612" operator="containsText" text="#N">
      <formula>NOT(ISERROR(SEARCH("#N",P45)))</formula>
    </cfRule>
    <cfRule type="containsText" dxfId="170" priority="613" operator="containsText" text="#N/A">
      <formula>NOT(ISERROR(SEARCH("#N/A",P45)))</formula>
    </cfRule>
  </conditionalFormatting>
  <conditionalFormatting sqref="P14:P15">
    <cfRule type="containsText" dxfId="169" priority="610" operator="containsText" text="#N">
      <formula>NOT(ISERROR(SEARCH("#N",P14)))</formula>
    </cfRule>
    <cfRule type="containsText" dxfId="168" priority="611" operator="containsText" text="#N/A">
      <formula>NOT(ISERROR(SEARCH("#N/A",P14)))</formula>
    </cfRule>
  </conditionalFormatting>
  <conditionalFormatting sqref="P16:P19">
    <cfRule type="containsText" dxfId="167" priority="608" operator="containsText" text="#N">
      <formula>NOT(ISERROR(SEARCH("#N",P16)))</formula>
    </cfRule>
    <cfRule type="containsText" dxfId="166" priority="609" operator="containsText" text="#N/A">
      <formula>NOT(ISERROR(SEARCH("#N/A",P16)))</formula>
    </cfRule>
  </conditionalFormatting>
  <conditionalFormatting sqref="P28:P31">
    <cfRule type="containsText" dxfId="165" priority="606" operator="containsText" text="#N">
      <formula>NOT(ISERROR(SEARCH("#N",P28)))</formula>
    </cfRule>
    <cfRule type="containsText" dxfId="164" priority="607" operator="containsText" text="#N/A">
      <formula>NOT(ISERROR(SEARCH("#N/A",P28)))</formula>
    </cfRule>
  </conditionalFormatting>
  <conditionalFormatting sqref="P34:P40">
    <cfRule type="containsText" dxfId="163" priority="604" operator="containsText" text="#N">
      <formula>NOT(ISERROR(SEARCH("#N",P34)))</formula>
    </cfRule>
    <cfRule type="containsText" dxfId="162" priority="605" operator="containsText" text="#N/A">
      <formula>NOT(ISERROR(SEARCH("#N/A",P34)))</formula>
    </cfRule>
  </conditionalFormatting>
  <conditionalFormatting sqref="F60:F63">
    <cfRule type="containsText" dxfId="161" priority="596" operator="containsText" text="#N">
      <formula>NOT(ISERROR(SEARCH("#N",F60)))</formula>
    </cfRule>
    <cfRule type="containsText" dxfId="160" priority="597" operator="containsText" text="#N/A">
      <formula>NOT(ISERROR(SEARCH("#N/A",F60)))</formula>
    </cfRule>
  </conditionalFormatting>
  <conditionalFormatting sqref="N60:N64">
    <cfRule type="containsText" dxfId="159" priority="594" operator="containsText" text="#N">
      <formula>NOT(ISERROR(SEARCH("#N",N60)))</formula>
    </cfRule>
    <cfRule type="containsText" dxfId="158" priority="595" operator="containsText" text="#N/A">
      <formula>NOT(ISERROR(SEARCH("#N/A",N60)))</formula>
    </cfRule>
  </conditionalFormatting>
  <conditionalFormatting sqref="O60:O64">
    <cfRule type="containsText" dxfId="157" priority="592" operator="containsText" text="#N">
      <formula>NOT(ISERROR(SEARCH("#N",O60)))</formula>
    </cfRule>
    <cfRule type="containsText" dxfId="156" priority="593" operator="containsText" text="#N/A">
      <formula>NOT(ISERROR(SEARCH("#N/A",O60)))</formula>
    </cfRule>
  </conditionalFormatting>
  <conditionalFormatting sqref="P60:P64">
    <cfRule type="containsText" dxfId="155" priority="590" operator="containsText" text="#N">
      <formula>NOT(ISERROR(SEARCH("#N",P60)))</formula>
    </cfRule>
    <cfRule type="containsText" dxfId="154" priority="591" operator="containsText" text="#N/A">
      <formula>NOT(ISERROR(SEARCH("#N/A",P60)))</formula>
    </cfRule>
  </conditionalFormatting>
  <conditionalFormatting sqref="D20">
    <cfRule type="containsText" dxfId="153" priority="588" operator="containsText" text="#N">
      <formula>NOT(ISERROR(SEARCH("#N",D20)))</formula>
    </cfRule>
    <cfRule type="containsText" dxfId="152" priority="589" operator="containsText" text="#N/A">
      <formula>NOT(ISERROR(SEARCH("#N/A",D20)))</formula>
    </cfRule>
  </conditionalFormatting>
  <conditionalFormatting sqref="H20">
    <cfRule type="containsText" dxfId="151" priority="586" operator="containsText" text="#N">
      <formula>NOT(ISERROR(SEARCH("#N",#REF!)))</formula>
    </cfRule>
    <cfRule type="containsText" dxfId="150" priority="587" operator="containsText" text="#N/A">
      <formula>NOT(ISERROR(SEARCH("#N/A",#REF!)))</formula>
    </cfRule>
  </conditionalFormatting>
  <conditionalFormatting sqref="O23:O26">
    <cfRule type="containsText" dxfId="149" priority="584" operator="containsText" text="#N">
      <formula>NOT(ISERROR(SEARCH("#N",O23)))</formula>
    </cfRule>
    <cfRule type="containsText" dxfId="148" priority="585" operator="containsText" text="#N/A">
      <formula>NOT(ISERROR(SEARCH("#N/A",O23)))</formula>
    </cfRule>
  </conditionalFormatting>
  <conditionalFormatting sqref="G6:G7">
    <cfRule type="containsText" dxfId="147" priority="582" operator="containsText" text="#N">
      <formula>NOT(ISERROR(SEARCH("#N",G6)))</formula>
    </cfRule>
    <cfRule type="containsText" dxfId="146" priority="583" operator="containsText" text="#N/A">
      <formula>NOT(ISERROR(SEARCH("#N/A",G6)))</formula>
    </cfRule>
  </conditionalFormatting>
  <conditionalFormatting sqref="H43:H44">
    <cfRule type="containsText" dxfId="145" priority="578" operator="containsText" text="#N">
      <formula>NOT(ISERROR(SEARCH("#N",H43)))</formula>
    </cfRule>
    <cfRule type="containsText" dxfId="144" priority="579" operator="containsText" text="#N/A">
      <formula>NOT(ISERROR(SEARCH("#N/A",H43)))</formula>
    </cfRule>
  </conditionalFormatting>
  <conditionalFormatting sqref="H7">
    <cfRule type="containsText" dxfId="143" priority="499" operator="containsText" text="#N">
      <formula>NOT(ISERROR(SEARCH("#N",H7)))</formula>
    </cfRule>
    <cfRule type="containsText" dxfId="142" priority="500" operator="containsText" text="#N/A">
      <formula>NOT(ISERROR(SEARCH("#N/A",H7)))</formula>
    </cfRule>
  </conditionalFormatting>
  <conditionalFormatting sqref="A16:A22">
    <cfRule type="containsText" dxfId="141" priority="455" operator="containsText" text="#N">
      <formula>NOT(ISERROR(SEARCH("#N",A16)))</formula>
    </cfRule>
    <cfRule type="containsText" dxfId="140" priority="456" operator="containsText" text="#N/A">
      <formula>NOT(ISERROR(SEARCH("#N/A",A16)))</formula>
    </cfRule>
  </conditionalFormatting>
  <conditionalFormatting sqref="A26:A33">
    <cfRule type="containsText" dxfId="139" priority="459" operator="containsText" text="#N">
      <formula>NOT(ISERROR(SEARCH("#N",A26)))</formula>
    </cfRule>
    <cfRule type="containsText" dxfId="138" priority="460" operator="containsText" text="#N/A">
      <formula>NOT(ISERROR(SEARCH("#N/A",A26)))</formula>
    </cfRule>
  </conditionalFormatting>
  <conditionalFormatting sqref="A15">
    <cfRule type="containsText" dxfId="137" priority="453" operator="containsText" text="#N">
      <formula>NOT(ISERROR(SEARCH("#N",A15)))</formula>
    </cfRule>
    <cfRule type="containsText" dxfId="136" priority="454" operator="containsText" text="#N/A">
      <formula>NOT(ISERROR(SEARCH("#N/A",A15)))</formula>
    </cfRule>
  </conditionalFormatting>
  <conditionalFormatting sqref="A41:A42">
    <cfRule type="containsText" dxfId="135" priority="441" operator="containsText" text="#N">
      <formula>NOT(ISERROR(SEARCH("#N",A41)))</formula>
    </cfRule>
    <cfRule type="containsText" dxfId="134" priority="442" operator="containsText" text="#N/A">
      <formula>NOT(ISERROR(SEARCH("#N/A",A41)))</formula>
    </cfRule>
  </conditionalFormatting>
  <conditionalFormatting sqref="L43:L44">
    <cfRule type="containsText" dxfId="133" priority="437" operator="containsText" text="#N">
      <formula>NOT(ISERROR(SEARCH("#N",L43)))</formula>
    </cfRule>
    <cfRule type="containsText" dxfId="132" priority="438" operator="containsText" text="#N/A">
      <formula>NOT(ISERROR(SEARCH("#N/A",L43)))</formula>
    </cfRule>
  </conditionalFormatting>
  <conditionalFormatting sqref="R45:R50">
    <cfRule type="containsText" dxfId="131" priority="389" operator="containsText" text="#N">
      <formula>NOT(ISERROR(SEARCH("#N",R45)))</formula>
    </cfRule>
    <cfRule type="containsText" dxfId="130" priority="390" operator="containsText" text="#N/A">
      <formula>NOT(ISERROR(SEARCH("#N/A",R45)))</formula>
    </cfRule>
  </conditionalFormatting>
  <conditionalFormatting sqref="R60:R63">
    <cfRule type="containsText" dxfId="129" priority="387" operator="containsText" text="#N">
      <formula>NOT(ISERROR(SEARCH("#N",R60)))</formula>
    </cfRule>
    <cfRule type="containsText" dxfId="128" priority="388" operator="containsText" text="#N/A">
      <formula>NOT(ISERROR(SEARCH("#N/A",R60)))</formula>
    </cfRule>
  </conditionalFormatting>
  <conditionalFormatting sqref="Q10:Q11">
    <cfRule type="containsText" dxfId="127" priority="385" operator="containsText" text="#N">
      <formula>NOT(ISERROR(SEARCH("#N",Q10)))</formula>
    </cfRule>
    <cfRule type="containsText" dxfId="126" priority="386" operator="containsText" text="#N/A">
      <formula>NOT(ISERROR(SEARCH("#N/A",Q10)))</formula>
    </cfRule>
  </conditionalFormatting>
  <conditionalFormatting sqref="Q10:Q11">
    <cfRule type="containsText" dxfId="125" priority="383" operator="containsText" text="#N">
      <formula>NOT(ISERROR(SEARCH("#N",Q10)))</formula>
    </cfRule>
    <cfRule type="containsText" dxfId="124" priority="384" operator="containsText" text="#N/A">
      <formula>NOT(ISERROR(SEARCH("#N/A",Q10)))</formula>
    </cfRule>
  </conditionalFormatting>
  <conditionalFormatting sqref="Q8:Q9">
    <cfRule type="containsText" dxfId="123" priority="381" operator="containsText" text="#N">
      <formula>NOT(ISERROR(SEARCH("#N",Q8)))</formula>
    </cfRule>
    <cfRule type="containsText" dxfId="122" priority="382" operator="containsText" text="#N/A">
      <formula>NOT(ISERROR(SEARCH("#N/A",Q8)))</formula>
    </cfRule>
  </conditionalFormatting>
  <conditionalFormatting sqref="Q14:Q15">
    <cfRule type="containsText" dxfId="121" priority="379" operator="containsText" text="#N">
      <formula>NOT(ISERROR(SEARCH("#N",Q14)))</formula>
    </cfRule>
    <cfRule type="containsText" dxfId="120" priority="380" operator="containsText" text="#N/A">
      <formula>NOT(ISERROR(SEARCH("#N/A",Q14)))</formula>
    </cfRule>
  </conditionalFormatting>
  <conditionalFormatting sqref="Q28:Q31">
    <cfRule type="containsText" dxfId="119" priority="375" operator="containsText" text="#N">
      <formula>NOT(ISERROR(SEARCH("#N",Q28)))</formula>
    </cfRule>
    <cfRule type="containsText" dxfId="118" priority="376" operator="containsText" text="#N/A">
      <formula>NOT(ISERROR(SEARCH("#N/A",Q28)))</formula>
    </cfRule>
  </conditionalFormatting>
  <conditionalFormatting sqref="Q23:Q26">
    <cfRule type="containsText" dxfId="117" priority="377" operator="containsText" text="#N">
      <formula>NOT(ISERROR(SEARCH("#N",Q23)))</formula>
    </cfRule>
    <cfRule type="containsText" dxfId="116" priority="378" operator="containsText" text="#N/A">
      <formula>NOT(ISERROR(SEARCH("#N/A",Q23)))</formula>
    </cfRule>
  </conditionalFormatting>
  <conditionalFormatting sqref="Q32:Q33">
    <cfRule type="containsText" dxfId="115" priority="373" operator="containsText" text="#N">
      <formula>NOT(ISERROR(SEARCH("#N",Q32)))</formula>
    </cfRule>
    <cfRule type="containsText" dxfId="114" priority="374" operator="containsText" text="#N/A">
      <formula>NOT(ISERROR(SEARCH("#N/A",Q32)))</formula>
    </cfRule>
  </conditionalFormatting>
  <conditionalFormatting sqref="Q34:Q40">
    <cfRule type="containsText" dxfId="113" priority="369" operator="containsText" text="#N">
      <formula>NOT(ISERROR(SEARCH("#N",Q34)))</formula>
    </cfRule>
    <cfRule type="containsText" dxfId="112" priority="370" operator="containsText" text="#N/A">
      <formula>NOT(ISERROR(SEARCH("#N/A",Q34)))</formula>
    </cfRule>
  </conditionalFormatting>
  <conditionalFormatting sqref="Q16:Q19">
    <cfRule type="containsText" dxfId="111" priority="345" operator="containsText" text="#N">
      <formula>NOT(ISERROR(SEARCH("#N",Q16)))</formula>
    </cfRule>
    <cfRule type="containsText" dxfId="110" priority="346" operator="containsText" text="#N/A">
      <formula>NOT(ISERROR(SEARCH("#N/A",Q16)))</formula>
    </cfRule>
  </conditionalFormatting>
  <conditionalFormatting sqref="Q42">
    <cfRule type="containsText" dxfId="109" priority="367" operator="containsText" text="#N">
      <formula>NOT(ISERROR(SEARCH("#N",Q42)))</formula>
    </cfRule>
    <cfRule type="containsText" dxfId="108" priority="368" operator="containsText" text="#N/A">
      <formula>NOT(ISERROR(SEARCH("#N/A",Q42)))</formula>
    </cfRule>
  </conditionalFormatting>
  <conditionalFormatting sqref="R10:R11">
    <cfRule type="containsText" dxfId="107" priority="343" operator="containsText" text="#N">
      <formula>NOT(ISERROR(SEARCH("#N",R10)))</formula>
    </cfRule>
    <cfRule type="containsText" dxfId="106" priority="344" operator="containsText" text="#N/A">
      <formula>NOT(ISERROR(SEARCH("#N/A",R10)))</formula>
    </cfRule>
  </conditionalFormatting>
  <conditionalFormatting sqref="R10:R11">
    <cfRule type="containsText" dxfId="105" priority="341" operator="containsText" text="#N">
      <formula>NOT(ISERROR(SEARCH("#N",R10)))</formula>
    </cfRule>
    <cfRule type="containsText" dxfId="104" priority="342" operator="containsText" text="#N/A">
      <formula>NOT(ISERROR(SEARCH("#N/A",R10)))</formula>
    </cfRule>
  </conditionalFormatting>
  <conditionalFormatting sqref="R8:R9">
    <cfRule type="containsText" dxfId="103" priority="339" operator="containsText" text="#N">
      <formula>NOT(ISERROR(SEARCH("#N",R8)))</formula>
    </cfRule>
    <cfRule type="containsText" dxfId="102" priority="340" operator="containsText" text="#N/A">
      <formula>NOT(ISERROR(SEARCH("#N/A",R8)))</formula>
    </cfRule>
  </conditionalFormatting>
  <conditionalFormatting sqref="R23:R26">
    <cfRule type="containsText" dxfId="101" priority="337" operator="containsText" text="#N">
      <formula>NOT(ISERROR(SEARCH("#N",R23)))</formula>
    </cfRule>
    <cfRule type="containsText" dxfId="100" priority="338" operator="containsText" text="#N/A">
      <formula>NOT(ISERROR(SEARCH("#N/A",R23)))</formula>
    </cfRule>
  </conditionalFormatting>
  <conditionalFormatting sqref="R28:R31">
    <cfRule type="containsText" dxfId="99" priority="335" operator="containsText" text="#N">
      <formula>NOT(ISERROR(SEARCH("#N",R28)))</formula>
    </cfRule>
    <cfRule type="containsText" dxfId="98" priority="336" operator="containsText" text="#N/A">
      <formula>NOT(ISERROR(SEARCH("#N/A",R28)))</formula>
    </cfRule>
  </conditionalFormatting>
  <conditionalFormatting sqref="R32:R33">
    <cfRule type="containsText" dxfId="97" priority="333" operator="containsText" text="#N">
      <formula>NOT(ISERROR(SEARCH("#N",R32)))</formula>
    </cfRule>
    <cfRule type="containsText" dxfId="96" priority="334" operator="containsText" text="#N/A">
      <formula>NOT(ISERROR(SEARCH("#N/A",R32)))</formula>
    </cfRule>
  </conditionalFormatting>
  <conditionalFormatting sqref="R34:R40">
    <cfRule type="containsText" dxfId="95" priority="331" operator="containsText" text="#N">
      <formula>NOT(ISERROR(SEARCH("#N",R34)))</formula>
    </cfRule>
    <cfRule type="containsText" dxfId="94" priority="332" operator="containsText" text="#N/A">
      <formula>NOT(ISERROR(SEARCH("#N/A",R34)))</formula>
    </cfRule>
  </conditionalFormatting>
  <conditionalFormatting sqref="R41:R42">
    <cfRule type="containsText" dxfId="93" priority="325" operator="containsText" text="#N">
      <formula>NOT(ISERROR(SEARCH("#N",R41)))</formula>
    </cfRule>
    <cfRule type="containsText" dxfId="92" priority="326" operator="containsText" text="#N/A">
      <formula>NOT(ISERROR(SEARCH("#N/A",R41)))</formula>
    </cfRule>
  </conditionalFormatting>
  <conditionalFormatting sqref="Q41">
    <cfRule type="containsText" dxfId="91" priority="323" operator="containsText" text="#N">
      <formula>NOT(ISERROR(SEARCH("#N",Q41)))</formula>
    </cfRule>
    <cfRule type="containsText" dxfId="90" priority="324" operator="containsText" text="#N/A">
      <formula>NOT(ISERROR(SEARCH("#N/A",Q41)))</formula>
    </cfRule>
  </conditionalFormatting>
  <conditionalFormatting sqref="R16:R19">
    <cfRule type="containsText" dxfId="89" priority="321" operator="containsText" text="#N">
      <formula>NOT(ISERROR(SEARCH("#N",R16)))</formula>
    </cfRule>
    <cfRule type="containsText" dxfId="88" priority="322" operator="containsText" text="#N/A">
      <formula>NOT(ISERROR(SEARCH("#N/A",R16)))</formula>
    </cfRule>
  </conditionalFormatting>
  <conditionalFormatting sqref="R14:R15">
    <cfRule type="containsText" dxfId="87" priority="319" operator="containsText" text="#N">
      <formula>NOT(ISERROR(SEARCH("#N",R14)))</formula>
    </cfRule>
    <cfRule type="containsText" dxfId="86" priority="320" operator="containsText" text="#N/A">
      <formula>NOT(ISERROR(SEARCH("#N/A",R14)))</formula>
    </cfRule>
  </conditionalFormatting>
  <conditionalFormatting sqref="S8:S9">
    <cfRule type="containsText" dxfId="85" priority="317" operator="containsText" text="#N">
      <formula>NOT(ISERROR(SEARCH("#N",S8)))</formula>
    </cfRule>
    <cfRule type="containsText" dxfId="84" priority="318" operator="containsText" text="#N/A">
      <formula>NOT(ISERROR(SEARCH("#N/A",S8)))</formula>
    </cfRule>
  </conditionalFormatting>
  <conditionalFormatting sqref="S10:S11">
    <cfRule type="containsText" dxfId="83" priority="315" operator="containsText" text="#N">
      <formula>NOT(ISERROR(SEARCH("#N",S10)))</formula>
    </cfRule>
    <cfRule type="containsText" dxfId="82" priority="316" operator="containsText" text="#N/A">
      <formula>NOT(ISERROR(SEARCH("#N/A",S10)))</formula>
    </cfRule>
  </conditionalFormatting>
  <conditionalFormatting sqref="S10:S11">
    <cfRule type="containsText" dxfId="81" priority="313" operator="containsText" text="#N">
      <formula>NOT(ISERROR(SEARCH("#N",S10)))</formula>
    </cfRule>
    <cfRule type="containsText" dxfId="80" priority="314" operator="containsText" text="#N/A">
      <formula>NOT(ISERROR(SEARCH("#N/A",S10)))</formula>
    </cfRule>
  </conditionalFormatting>
  <conditionalFormatting sqref="S16:S19">
    <cfRule type="containsText" dxfId="79" priority="311" operator="containsText" text="#N">
      <formula>NOT(ISERROR(SEARCH("#N",S16)))</formula>
    </cfRule>
    <cfRule type="containsText" dxfId="78" priority="312" operator="containsText" text="#N/A">
      <formula>NOT(ISERROR(SEARCH("#N/A",S16)))</formula>
    </cfRule>
  </conditionalFormatting>
  <conditionalFormatting sqref="S41">
    <cfRule type="containsText" dxfId="77" priority="309" operator="containsText" text="#N">
      <formula>NOT(ISERROR(SEARCH("#N",S41)))</formula>
    </cfRule>
    <cfRule type="containsText" dxfId="76" priority="310" operator="containsText" text="#N/A">
      <formula>NOT(ISERROR(SEARCH("#N/A",S41)))</formula>
    </cfRule>
  </conditionalFormatting>
  <conditionalFormatting sqref="S60:S63">
    <cfRule type="containsText" dxfId="75" priority="307" operator="containsText" text="#N">
      <formula>NOT(ISERROR(SEARCH("#N",S60)))</formula>
    </cfRule>
    <cfRule type="containsText" dxfId="74" priority="308" operator="containsText" text="#N/A">
      <formula>NOT(ISERROR(SEARCH("#N/A",S60)))</formula>
    </cfRule>
  </conditionalFormatting>
  <conditionalFormatting sqref="S45:S50">
    <cfRule type="containsText" dxfId="73" priority="305" operator="containsText" text="#N">
      <formula>NOT(ISERROR(SEARCH("#N",S45)))</formula>
    </cfRule>
    <cfRule type="containsText" dxfId="72" priority="306" operator="containsText" text="#N/A">
      <formula>NOT(ISERROR(SEARCH("#N/A",S45)))</formula>
    </cfRule>
  </conditionalFormatting>
  <conditionalFormatting sqref="S34:S37">
    <cfRule type="containsText" dxfId="71" priority="303" operator="containsText" text="#N">
      <formula>NOT(ISERROR(SEARCH("#N",S34)))</formula>
    </cfRule>
    <cfRule type="containsText" dxfId="70" priority="304" operator="containsText" text="#N/A">
      <formula>NOT(ISERROR(SEARCH("#N/A",S34)))</formula>
    </cfRule>
  </conditionalFormatting>
  <conditionalFormatting sqref="S28:S31">
    <cfRule type="containsText" dxfId="69" priority="301" operator="containsText" text="#N">
      <formula>NOT(ISERROR(SEARCH("#N",S28)))</formula>
    </cfRule>
    <cfRule type="containsText" dxfId="68" priority="302" operator="containsText" text="#N/A">
      <formula>NOT(ISERROR(SEARCH("#N/A",S28)))</formula>
    </cfRule>
  </conditionalFormatting>
  <conditionalFormatting sqref="S43:S44">
    <cfRule type="containsText" dxfId="67" priority="299" operator="containsText" text="#N">
      <formula>NOT(ISERROR(SEARCH("#N",S43)))</formula>
    </cfRule>
    <cfRule type="containsText" dxfId="66" priority="300" operator="containsText" text="#N/A">
      <formula>NOT(ISERROR(SEARCH("#N/A",S43)))</formula>
    </cfRule>
  </conditionalFormatting>
  <conditionalFormatting sqref="K44">
    <cfRule type="containsText" dxfId="65" priority="267" operator="containsText" text="#N">
      <formula>NOT(ISERROR(SEARCH("#N",K44)))</formula>
    </cfRule>
    <cfRule type="containsText" dxfId="64" priority="268" operator="containsText" text="#N/A">
      <formula>NOT(ISERROR(SEARCH("#N/A",K44)))</formula>
    </cfRule>
  </conditionalFormatting>
  <conditionalFormatting sqref="H14:H15">
    <cfRule type="containsText" dxfId="63" priority="265" operator="containsText" text="#N">
      <formula>NOT(ISERROR(SEARCH("#N",H14)))</formula>
    </cfRule>
    <cfRule type="containsText" dxfId="62" priority="266" operator="containsText" text="#N/A">
      <formula>NOT(ISERROR(SEARCH("#N/A",H14)))</formula>
    </cfRule>
  </conditionalFormatting>
  <conditionalFormatting sqref="E49:E51">
    <cfRule type="containsText" dxfId="61" priority="99" operator="containsText" text="#N">
      <formula>NOT(ISERROR(SEARCH("#N",E49)))</formula>
    </cfRule>
    <cfRule type="containsText" dxfId="60" priority="100" operator="containsText" text="#N/A">
      <formula>NOT(ISERROR(SEARCH("#N/A",E49)))</formula>
    </cfRule>
  </conditionalFormatting>
  <conditionalFormatting sqref="F64">
    <cfRule type="containsText" dxfId="59" priority="97" operator="containsText" text="#N">
      <formula>NOT(ISERROR(SEARCH("#N",F64)))</formula>
    </cfRule>
    <cfRule type="containsText" dxfId="58" priority="98" operator="containsText" text="#N/A">
      <formula>NOT(ISERROR(SEARCH("#N/A",F64)))</formula>
    </cfRule>
  </conditionalFormatting>
  <conditionalFormatting sqref="M14:M22">
    <cfRule type="containsText" dxfId="57" priority="93" operator="containsText" text="#N">
      <formula>NOT(ISERROR(SEARCH("#N",M14)))</formula>
    </cfRule>
    <cfRule type="containsText" dxfId="56" priority="94" operator="containsText" text="#N/A">
      <formula>NOT(ISERROR(SEARCH("#N/A",M14)))</formula>
    </cfRule>
  </conditionalFormatting>
  <conditionalFormatting sqref="D60:D63">
    <cfRule type="containsText" dxfId="55" priority="85" operator="containsText" text="#N">
      <formula>NOT(ISERROR(SEARCH("#N",D60)))</formula>
    </cfRule>
    <cfRule type="containsText" dxfId="54" priority="86" operator="containsText" text="#N/A">
      <formula>NOT(ISERROR(SEARCH("#N/A",D60)))</formula>
    </cfRule>
  </conditionalFormatting>
  <conditionalFormatting sqref="D64">
    <cfRule type="containsText" dxfId="53" priority="83" operator="containsText" text="#N">
      <formula>NOT(ISERROR(SEARCH("#N",D64)))</formula>
    </cfRule>
    <cfRule type="containsText" dxfId="52" priority="84" operator="containsText" text="#N/A">
      <formula>NOT(ISERROR(SEARCH("#N/A",D64)))</formula>
    </cfRule>
  </conditionalFormatting>
  <conditionalFormatting sqref="D45:D50">
    <cfRule type="containsText" dxfId="51" priority="81" operator="containsText" text="#N">
      <formula>NOT(ISERROR(SEARCH("#N",D45)))</formula>
    </cfRule>
    <cfRule type="containsText" dxfId="50" priority="82" operator="containsText" text="#N/A">
      <formula>NOT(ISERROR(SEARCH("#N/A",D45)))</formula>
    </cfRule>
  </conditionalFormatting>
  <conditionalFormatting sqref="J27">
    <cfRule type="containsText" dxfId="49" priority="47" operator="containsText" text="#N">
      <formula>NOT(ISERROR(SEARCH("#N",J27)))</formula>
    </cfRule>
    <cfRule type="containsText" dxfId="48" priority="48" operator="containsText" text="#N/A">
      <formula>NOT(ISERROR(SEARCH("#N/A",J27)))</formula>
    </cfRule>
  </conditionalFormatting>
  <conditionalFormatting sqref="D21:D22">
    <cfRule type="containsText" dxfId="47" priority="43" operator="containsText" text="#N">
      <formula>NOT(ISERROR(SEARCH("#N",D21)))</formula>
    </cfRule>
    <cfRule type="containsText" dxfId="46" priority="44" operator="containsText" text="#N/A">
      <formula>NOT(ISERROR(SEARCH("#N/A",D21)))</formula>
    </cfRule>
  </conditionalFormatting>
  <conditionalFormatting sqref="D14:D15">
    <cfRule type="containsText" dxfId="45" priority="29" operator="containsText" text="#N">
      <formula>NOT(ISERROR(SEARCH("#N",D14)))</formula>
    </cfRule>
    <cfRule type="containsText" dxfId="44" priority="30" operator="containsText" text="#N/A">
      <formula>NOT(ISERROR(SEARCH("#N/A",D14)))</formula>
    </cfRule>
  </conditionalFormatting>
  <conditionalFormatting sqref="D18:D19">
    <cfRule type="containsText" dxfId="43" priority="27" operator="containsText" text="#N">
      <formula>NOT(ISERROR(SEARCH("#N",D18)))</formula>
    </cfRule>
    <cfRule type="containsText" dxfId="42" priority="28" operator="containsText" text="#N/A">
      <formula>NOT(ISERROR(SEARCH("#N/A",D18)))</formula>
    </cfRule>
  </conditionalFormatting>
  <conditionalFormatting sqref="D16:D17">
    <cfRule type="containsText" dxfId="41" priority="25" operator="containsText" text="#N">
      <formula>NOT(ISERROR(SEARCH("#N",D16)))</formula>
    </cfRule>
    <cfRule type="containsText" dxfId="40" priority="26" operator="containsText" text="#N/A">
      <formula>NOT(ISERROR(SEARCH("#N/A",D16)))</formula>
    </cfRule>
  </conditionalFormatting>
  <conditionalFormatting sqref="D8:D9">
    <cfRule type="containsText" dxfId="39" priority="23" operator="containsText" text="#N">
      <formula>NOT(ISERROR(SEARCH("#N",D8)))</formula>
    </cfRule>
    <cfRule type="containsText" dxfId="38" priority="24" operator="containsText" text="#N/A">
      <formula>NOT(ISERROR(SEARCH("#N/A",D8)))</formula>
    </cfRule>
  </conditionalFormatting>
  <conditionalFormatting sqref="D23:D27">
    <cfRule type="containsText" dxfId="37" priority="21" operator="containsText" text="#N">
      <formula>NOT(ISERROR(SEARCH("#N",D23)))</formula>
    </cfRule>
    <cfRule type="containsText" dxfId="36" priority="22" operator="containsText" text="#N/A">
      <formula>NOT(ISERROR(SEARCH("#N/A",D23)))</formula>
    </cfRule>
  </conditionalFormatting>
  <conditionalFormatting sqref="D28:D33">
    <cfRule type="containsText" dxfId="35" priority="13" operator="containsText" text="#N">
      <formula>NOT(ISERROR(SEARCH("#N",D28)))</formula>
    </cfRule>
    <cfRule type="containsText" dxfId="34" priority="14" operator="containsText" text="#N/A">
      <formula>NOT(ISERROR(SEARCH("#N/A",D28)))</formula>
    </cfRule>
  </conditionalFormatting>
  <conditionalFormatting sqref="D41:D42">
    <cfRule type="containsText" dxfId="33" priority="9" operator="containsText" text="#N">
      <formula>NOT(ISERROR(SEARCH("#N",D41)))</formula>
    </cfRule>
    <cfRule type="containsText" dxfId="32" priority="10" operator="containsText" text="#N/A">
      <formula>NOT(ISERROR(SEARCH("#N/A",D41)))</formula>
    </cfRule>
  </conditionalFormatting>
  <conditionalFormatting sqref="D10:D11">
    <cfRule type="containsText" dxfId="31" priority="7" operator="containsText" text="#N">
      <formula>NOT(ISERROR(SEARCH("#N",D10)))</formula>
    </cfRule>
    <cfRule type="containsText" dxfId="30" priority="8" operator="containsText" text="#N/A">
      <formula>NOT(ISERROR(SEARCH("#N/A",D10)))</formula>
    </cfRule>
  </conditionalFormatting>
  <conditionalFormatting sqref="D10:D11">
    <cfRule type="containsText" dxfId="29" priority="5" operator="containsText" text="#N">
      <formula>NOT(ISERROR(SEARCH("#N",D10)))</formula>
    </cfRule>
    <cfRule type="containsText" dxfId="28" priority="6" operator="containsText" text="#N/A">
      <formula>NOT(ISERROR(SEARCH("#N/A",D10)))</formula>
    </cfRule>
  </conditionalFormatting>
  <conditionalFormatting sqref="D34:D40">
    <cfRule type="containsText" dxfId="27" priority="3" operator="containsText" text="#N">
      <formula>NOT(ISERROR(SEARCH("#N",D34)))</formula>
    </cfRule>
    <cfRule type="containsText" dxfId="26" priority="4" operator="containsText" text="#N/A">
      <formula>NOT(ISERROR(SEARCH("#N/A",D34)))</formula>
    </cfRule>
  </conditionalFormatting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27"/>
  <sheetViews>
    <sheetView zoomScale="85" zoomScaleNormal="85" workbookViewId="0">
      <selection activeCell="D4" sqref="D4:Y25"/>
    </sheetView>
  </sheetViews>
  <sheetFormatPr defaultRowHeight="13.5"/>
  <cols>
    <col min="2" max="2" width="21.625" bestFit="1" customWidth="1"/>
    <col min="3" max="3" width="4.25" customWidth="1"/>
    <col min="4" max="25" width="3.5" customWidth="1"/>
    <col min="26" max="26" width="5.125" customWidth="1"/>
    <col min="27" max="27" width="21.625" bestFit="1" customWidth="1"/>
    <col min="29" max="29" width="12.625" customWidth="1"/>
    <col min="30" max="30" width="19.125" customWidth="1"/>
    <col min="31" max="31" width="29.625" bestFit="1" customWidth="1"/>
  </cols>
  <sheetData>
    <row r="2" spans="2:30" ht="124.5" thickBot="1">
      <c r="B2" s="36"/>
      <c r="C2" s="36"/>
      <c r="D2" s="73" t="s">
        <v>803</v>
      </c>
      <c r="E2" s="73" t="s">
        <v>804</v>
      </c>
      <c r="F2" s="73" t="s">
        <v>805</v>
      </c>
      <c r="G2" s="73" t="s">
        <v>806</v>
      </c>
      <c r="H2" s="73" t="s">
        <v>807</v>
      </c>
      <c r="I2" s="73" t="s">
        <v>268</v>
      </c>
      <c r="J2" s="73" t="s">
        <v>269</v>
      </c>
      <c r="K2" s="73" t="s">
        <v>808</v>
      </c>
      <c r="L2" s="73" t="s">
        <v>809</v>
      </c>
      <c r="M2" s="73" t="s">
        <v>810</v>
      </c>
      <c r="N2" s="73" t="s">
        <v>811</v>
      </c>
      <c r="O2" s="73" t="s">
        <v>812</v>
      </c>
      <c r="P2" s="73" t="s">
        <v>813</v>
      </c>
      <c r="Q2" s="73" t="s">
        <v>814</v>
      </c>
      <c r="R2" s="73" t="s">
        <v>810</v>
      </c>
      <c r="S2" s="73" t="s">
        <v>891</v>
      </c>
      <c r="T2" s="74" t="s">
        <v>815</v>
      </c>
      <c r="U2" s="73" t="s">
        <v>816</v>
      </c>
      <c r="V2" s="73" t="s">
        <v>817</v>
      </c>
      <c r="W2" s="73" t="s">
        <v>818</v>
      </c>
      <c r="X2" s="73" t="s">
        <v>819</v>
      </c>
      <c r="Y2" s="73" t="s">
        <v>820</v>
      </c>
      <c r="Z2" s="36"/>
      <c r="AA2" s="36"/>
    </row>
    <row r="3" spans="2:30" ht="21" customHeight="1">
      <c r="B3" s="36"/>
      <c r="C3" s="69"/>
      <c r="D3" s="60">
        <v>88</v>
      </c>
      <c r="E3" s="60">
        <v>87</v>
      </c>
      <c r="F3" s="60">
        <v>86</v>
      </c>
      <c r="G3" s="60">
        <v>85</v>
      </c>
      <c r="H3" s="60">
        <v>84</v>
      </c>
      <c r="I3" s="60">
        <v>83</v>
      </c>
      <c r="J3" s="60">
        <v>82</v>
      </c>
      <c r="K3" s="60">
        <v>81</v>
      </c>
      <c r="L3" s="60">
        <v>80</v>
      </c>
      <c r="M3" s="59">
        <v>79</v>
      </c>
      <c r="N3" s="60">
        <v>78</v>
      </c>
      <c r="O3" s="60">
        <v>77</v>
      </c>
      <c r="P3" s="60">
        <v>76</v>
      </c>
      <c r="Q3" s="60">
        <v>75</v>
      </c>
      <c r="R3" s="59">
        <v>74</v>
      </c>
      <c r="S3" s="58">
        <v>73</v>
      </c>
      <c r="T3" s="58">
        <v>72</v>
      </c>
      <c r="U3" s="58">
        <v>71</v>
      </c>
      <c r="V3" s="58">
        <v>70</v>
      </c>
      <c r="W3" s="58">
        <v>69</v>
      </c>
      <c r="X3" s="58">
        <v>68</v>
      </c>
      <c r="Y3" s="58">
        <v>67</v>
      </c>
      <c r="Z3" s="70"/>
      <c r="AA3" s="36"/>
    </row>
    <row r="4" spans="2:30" ht="16.5" customHeight="1">
      <c r="B4" s="79" t="s">
        <v>821</v>
      </c>
      <c r="C4" s="52">
        <v>1</v>
      </c>
      <c r="D4" s="136" t="s">
        <v>888</v>
      </c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54">
        <v>66</v>
      </c>
      <c r="AA4" s="78" t="s">
        <v>822</v>
      </c>
      <c r="AC4" s="31"/>
      <c r="AD4" s="32" t="s">
        <v>823</v>
      </c>
    </row>
    <row r="5" spans="2:30" ht="16.5" customHeight="1">
      <c r="B5" s="79" t="s">
        <v>824</v>
      </c>
      <c r="C5" s="52">
        <v>2</v>
      </c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54">
        <v>65</v>
      </c>
      <c r="AA5" s="77" t="s">
        <v>825</v>
      </c>
      <c r="AC5" s="57"/>
      <c r="AD5" s="32" t="s">
        <v>826</v>
      </c>
    </row>
    <row r="6" spans="2:30" ht="16.5" customHeight="1">
      <c r="B6" s="79" t="s">
        <v>827</v>
      </c>
      <c r="C6" s="52">
        <v>3</v>
      </c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54">
        <v>64</v>
      </c>
      <c r="AA6" s="77" t="s">
        <v>828</v>
      </c>
      <c r="AC6" s="56"/>
      <c r="AD6" s="32" t="s">
        <v>829</v>
      </c>
    </row>
    <row r="7" spans="2:30" ht="16.5" customHeight="1">
      <c r="B7" s="79" t="s">
        <v>830</v>
      </c>
      <c r="C7" s="52">
        <v>4</v>
      </c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54">
        <v>63</v>
      </c>
      <c r="AA7" s="77" t="s">
        <v>831</v>
      </c>
      <c r="AC7" s="33"/>
      <c r="AD7" s="32" t="s">
        <v>832</v>
      </c>
    </row>
    <row r="8" spans="2:30" ht="16.5" customHeight="1">
      <c r="B8" s="79" t="s">
        <v>833</v>
      </c>
      <c r="C8" s="52">
        <v>5</v>
      </c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54">
        <v>62</v>
      </c>
      <c r="AA8" s="77" t="s">
        <v>834</v>
      </c>
      <c r="AC8" s="55"/>
      <c r="AD8" s="32" t="s">
        <v>835</v>
      </c>
    </row>
    <row r="9" spans="2:30" ht="16.5" customHeight="1">
      <c r="B9" s="79" t="s">
        <v>836</v>
      </c>
      <c r="C9" s="52">
        <v>6</v>
      </c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54">
        <v>61</v>
      </c>
      <c r="AA9" s="77" t="s">
        <v>892</v>
      </c>
      <c r="AC9" s="53"/>
      <c r="AD9" s="32" t="s">
        <v>837</v>
      </c>
    </row>
    <row r="10" spans="2:30" ht="16.5" customHeight="1">
      <c r="B10" s="80" t="s">
        <v>838</v>
      </c>
      <c r="C10" s="52">
        <v>7</v>
      </c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45">
        <v>60</v>
      </c>
      <c r="AA10" s="77" t="s">
        <v>839</v>
      </c>
      <c r="AC10" s="35"/>
      <c r="AD10" s="32" t="s">
        <v>840</v>
      </c>
    </row>
    <row r="11" spans="2:30" ht="16.5" customHeight="1">
      <c r="B11" s="79" t="s">
        <v>841</v>
      </c>
      <c r="C11" s="49">
        <v>8</v>
      </c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45">
        <v>59</v>
      </c>
      <c r="AA11" s="77" t="s">
        <v>842</v>
      </c>
      <c r="AC11" s="51"/>
      <c r="AD11" s="32" t="s">
        <v>843</v>
      </c>
    </row>
    <row r="12" spans="2:30" ht="16.5" customHeight="1">
      <c r="B12" s="79" t="s">
        <v>844</v>
      </c>
      <c r="C12" s="49">
        <v>9</v>
      </c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45">
        <v>58</v>
      </c>
      <c r="AA12" s="77" t="s">
        <v>845</v>
      </c>
      <c r="AC12" s="34"/>
      <c r="AD12" s="32" t="s">
        <v>846</v>
      </c>
    </row>
    <row r="13" spans="2:30" ht="16.5" customHeight="1">
      <c r="B13" s="79" t="s">
        <v>847</v>
      </c>
      <c r="C13" s="49">
        <v>10</v>
      </c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45">
        <v>57</v>
      </c>
      <c r="AA13" s="77" t="s">
        <v>848</v>
      </c>
    </row>
    <row r="14" spans="2:30" ht="16.5" customHeight="1">
      <c r="B14" s="79" t="s">
        <v>849</v>
      </c>
      <c r="C14" s="49">
        <v>11</v>
      </c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45">
        <v>56</v>
      </c>
      <c r="AA14" s="77" t="s">
        <v>850</v>
      </c>
      <c r="AD14" s="50" t="s">
        <v>851</v>
      </c>
    </row>
    <row r="15" spans="2:30" ht="16.5" customHeight="1">
      <c r="B15" s="79" t="s">
        <v>852</v>
      </c>
      <c r="C15" s="49">
        <v>12</v>
      </c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45">
        <v>55</v>
      </c>
      <c r="AA15" s="77" t="s">
        <v>853</v>
      </c>
    </row>
    <row r="16" spans="2:30" ht="16.5" customHeight="1">
      <c r="B16" s="79" t="s">
        <v>854</v>
      </c>
      <c r="C16" s="49">
        <v>13</v>
      </c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45">
        <v>54</v>
      </c>
      <c r="AA16" s="77" t="s">
        <v>855</v>
      </c>
    </row>
    <row r="17" spans="2:32" ht="16.5" customHeight="1">
      <c r="B17" s="79" t="s">
        <v>893</v>
      </c>
      <c r="C17" s="47">
        <v>14</v>
      </c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48">
        <v>53</v>
      </c>
      <c r="AA17" s="77" t="s">
        <v>810</v>
      </c>
    </row>
    <row r="18" spans="2:32" ht="16.5" customHeight="1">
      <c r="B18" s="79" t="s">
        <v>856</v>
      </c>
      <c r="C18" s="47">
        <v>15</v>
      </c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45">
        <v>52</v>
      </c>
      <c r="AA18" s="77" t="s">
        <v>811</v>
      </c>
    </row>
    <row r="19" spans="2:32" ht="16.5" customHeight="1">
      <c r="B19" s="79" t="s">
        <v>857</v>
      </c>
      <c r="C19" s="47">
        <v>16</v>
      </c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45">
        <v>51</v>
      </c>
      <c r="AA19" s="77" t="s">
        <v>858</v>
      </c>
    </row>
    <row r="20" spans="2:32" ht="16.5" customHeight="1">
      <c r="B20" s="79" t="s">
        <v>859</v>
      </c>
      <c r="C20" s="47">
        <v>17</v>
      </c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45">
        <v>50</v>
      </c>
      <c r="AA20" s="77" t="s">
        <v>860</v>
      </c>
    </row>
    <row r="21" spans="2:32" ht="16.5" customHeight="1">
      <c r="B21" s="79" t="s">
        <v>861</v>
      </c>
      <c r="C21" s="47">
        <v>18</v>
      </c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45">
        <v>49</v>
      </c>
      <c r="AA21" s="77" t="s">
        <v>862</v>
      </c>
    </row>
    <row r="22" spans="2:32" ht="16.5" customHeight="1">
      <c r="B22" s="79" t="s">
        <v>810</v>
      </c>
      <c r="C22" s="46">
        <v>19</v>
      </c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45">
        <v>48</v>
      </c>
      <c r="AA22" s="77" t="s">
        <v>863</v>
      </c>
      <c r="AE22" s="88" t="s">
        <v>889</v>
      </c>
      <c r="AF22" t="s">
        <v>890</v>
      </c>
    </row>
    <row r="23" spans="2:32" ht="16.5" customHeight="1">
      <c r="B23" s="79" t="s">
        <v>864</v>
      </c>
      <c r="C23" s="44">
        <v>20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45">
        <v>47</v>
      </c>
      <c r="AA23" s="77" t="s">
        <v>865</v>
      </c>
    </row>
    <row r="24" spans="2:32" ht="16.5" customHeight="1">
      <c r="B24" s="79" t="s">
        <v>811</v>
      </c>
      <c r="C24" s="44">
        <v>21</v>
      </c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43">
        <v>46</v>
      </c>
      <c r="AA24" s="77" t="s">
        <v>866</v>
      </c>
    </row>
    <row r="25" spans="2:32" ht="16.5" customHeight="1">
      <c r="B25" s="79" t="s">
        <v>867</v>
      </c>
      <c r="C25" s="44">
        <v>22</v>
      </c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43">
        <v>45</v>
      </c>
      <c r="AA25" s="77" t="s">
        <v>868</v>
      </c>
    </row>
    <row r="26" spans="2:32" ht="26.25" customHeight="1" thickBot="1">
      <c r="B26" s="36"/>
      <c r="C26" s="71"/>
      <c r="D26" s="42">
        <v>23</v>
      </c>
      <c r="E26" s="42">
        <v>24</v>
      </c>
      <c r="F26" s="42">
        <v>25</v>
      </c>
      <c r="G26" s="42">
        <v>26</v>
      </c>
      <c r="H26" s="42">
        <v>27</v>
      </c>
      <c r="I26" s="42">
        <v>28</v>
      </c>
      <c r="J26" s="42">
        <v>29</v>
      </c>
      <c r="K26" s="42">
        <v>30</v>
      </c>
      <c r="L26" s="42">
        <v>31</v>
      </c>
      <c r="M26" s="39">
        <v>32</v>
      </c>
      <c r="N26" s="41">
        <v>33</v>
      </c>
      <c r="O26" s="41">
        <v>34</v>
      </c>
      <c r="P26" s="41">
        <v>35</v>
      </c>
      <c r="Q26" s="41">
        <v>36</v>
      </c>
      <c r="R26" s="68">
        <v>37</v>
      </c>
      <c r="S26" s="68">
        <v>38</v>
      </c>
      <c r="T26" s="40">
        <v>39</v>
      </c>
      <c r="U26" s="39">
        <v>40</v>
      </c>
      <c r="V26" s="38">
        <v>41</v>
      </c>
      <c r="W26" s="38">
        <v>42</v>
      </c>
      <c r="X26" s="38">
        <v>43</v>
      </c>
      <c r="Y26" s="37">
        <v>44</v>
      </c>
      <c r="Z26" s="72"/>
      <c r="AA26" s="36"/>
    </row>
    <row r="27" spans="2:32" ht="81.75">
      <c r="B27" s="36"/>
      <c r="C27" s="36"/>
      <c r="D27" s="75" t="s">
        <v>869</v>
      </c>
      <c r="E27" s="75" t="s">
        <v>870</v>
      </c>
      <c r="F27" s="75" t="s">
        <v>871</v>
      </c>
      <c r="G27" s="75" t="s">
        <v>872</v>
      </c>
      <c r="H27" s="75" t="s">
        <v>873</v>
      </c>
      <c r="I27" s="75" t="s">
        <v>874</v>
      </c>
      <c r="J27" s="75" t="s">
        <v>875</v>
      </c>
      <c r="K27" s="75" t="s">
        <v>876</v>
      </c>
      <c r="L27" s="75" t="s">
        <v>877</v>
      </c>
      <c r="M27" s="75" t="s">
        <v>810</v>
      </c>
      <c r="N27" s="75" t="s">
        <v>878</v>
      </c>
      <c r="O27" s="76" t="s">
        <v>879</v>
      </c>
      <c r="P27" s="76" t="s">
        <v>880</v>
      </c>
      <c r="Q27" s="75" t="s">
        <v>878</v>
      </c>
      <c r="R27" s="75" t="s">
        <v>881</v>
      </c>
      <c r="S27" s="75" t="s">
        <v>882</v>
      </c>
      <c r="T27" s="75" t="s">
        <v>883</v>
      </c>
      <c r="U27" s="75" t="s">
        <v>810</v>
      </c>
      <c r="V27" s="75" t="s">
        <v>884</v>
      </c>
      <c r="W27" s="75" t="s">
        <v>885</v>
      </c>
      <c r="X27" s="75" t="s">
        <v>886</v>
      </c>
      <c r="Y27" s="75" t="s">
        <v>887</v>
      </c>
      <c r="Z27" s="36"/>
      <c r="AA27" s="36"/>
    </row>
  </sheetData>
  <mergeCells count="1">
    <mergeCell ref="D4:Y25"/>
  </mergeCells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zoomScale="85" zoomScaleNormal="85" workbookViewId="0">
      <pane xSplit="12" ySplit="2" topLeftCell="M3" activePane="bottomRight" state="frozen"/>
      <selection pane="topRight" activeCell="N1" sqref="N1"/>
      <selection pane="bottomLeft" activeCell="A3" sqref="A3"/>
      <selection pane="bottomRight" activeCell="I22" sqref="I22"/>
    </sheetView>
  </sheetViews>
  <sheetFormatPr defaultRowHeight="16.5"/>
  <cols>
    <col min="1" max="1" width="12.875" style="104" bestFit="1" customWidth="1"/>
    <col min="2" max="2" width="19.25" style="104" customWidth="1"/>
    <col min="3" max="3" width="17.25" style="104" bestFit="1" customWidth="1"/>
    <col min="4" max="4" width="9.875" style="104" bestFit="1" customWidth="1"/>
    <col min="5" max="5" width="11" style="104" hidden="1" customWidth="1"/>
    <col min="6" max="6" width="10.5" style="104" hidden="1" customWidth="1"/>
    <col min="7" max="7" width="13" style="104" customWidth="1"/>
    <col min="8" max="8" width="11" style="104" customWidth="1"/>
    <col min="9" max="9" width="12.75" style="104" customWidth="1"/>
    <col min="10" max="10" width="14.875" style="104" customWidth="1"/>
    <col min="11" max="11" width="21" style="104" customWidth="1"/>
    <col min="12" max="12" width="21.375" style="104" customWidth="1"/>
    <col min="13" max="13" width="50.125" style="104" bestFit="1" customWidth="1"/>
    <col min="14" max="16384" width="9" style="104"/>
  </cols>
  <sheetData>
    <row r="1" spans="1:13" ht="29.25" customHeight="1">
      <c r="A1" s="145" t="s">
        <v>966</v>
      </c>
      <c r="B1" s="145" t="s">
        <v>524</v>
      </c>
      <c r="C1" s="145" t="s">
        <v>529</v>
      </c>
      <c r="D1" s="147" t="s">
        <v>765</v>
      </c>
      <c r="E1" s="143" t="s">
        <v>770</v>
      </c>
      <c r="F1" s="144"/>
      <c r="G1" s="143" t="s">
        <v>965</v>
      </c>
      <c r="H1" s="144"/>
      <c r="I1" s="143" t="s">
        <v>525</v>
      </c>
      <c r="J1" s="144"/>
      <c r="K1" s="116" t="s">
        <v>776</v>
      </c>
      <c r="L1" s="116" t="s">
        <v>775</v>
      </c>
    </row>
    <row r="2" spans="1:13">
      <c r="A2" s="146"/>
      <c r="B2" s="146"/>
      <c r="C2" s="146"/>
      <c r="D2" s="148"/>
      <c r="E2" s="105" t="s">
        <v>482</v>
      </c>
      <c r="F2" s="105" t="s">
        <v>526</v>
      </c>
      <c r="G2" s="105" t="s">
        <v>769</v>
      </c>
      <c r="H2" s="105" t="s">
        <v>526</v>
      </c>
      <c r="I2" s="105" t="s">
        <v>482</v>
      </c>
      <c r="J2" s="105" t="s">
        <v>526</v>
      </c>
      <c r="K2" s="117" t="s">
        <v>482</v>
      </c>
      <c r="L2" s="117" t="s">
        <v>482</v>
      </c>
    </row>
    <row r="3" spans="1:13" ht="17.25">
      <c r="A3" s="106">
        <f>PIN_MUX!C2</f>
        <v>43</v>
      </c>
      <c r="B3" s="107" t="str">
        <f>PIN_MUX!D2</f>
        <v>RESETN</v>
      </c>
      <c r="C3" s="108" t="str">
        <f>[1]PIN_MUX!K6</f>
        <v>RESETN</v>
      </c>
      <c r="D3" s="109" t="s">
        <v>766</v>
      </c>
      <c r="E3" s="110" t="s">
        <v>752</v>
      </c>
      <c r="F3" s="110" t="s">
        <v>753</v>
      </c>
      <c r="G3" s="111" t="s">
        <v>754</v>
      </c>
      <c r="H3" s="111" t="s">
        <v>781</v>
      </c>
      <c r="I3" s="110" t="s">
        <v>756</v>
      </c>
      <c r="J3" s="110" t="s">
        <v>755</v>
      </c>
      <c r="K3" s="118" t="s">
        <v>771</v>
      </c>
      <c r="L3" s="118" t="s">
        <v>772</v>
      </c>
    </row>
    <row r="4" spans="1:13" ht="17.25">
      <c r="A4" s="106">
        <f>PIN_MUX!C3</f>
        <v>41</v>
      </c>
      <c r="B4" s="107" t="str">
        <f>PIN_MUX!D3</f>
        <v>CLK_IN</v>
      </c>
      <c r="C4" s="108" t="str">
        <f>[1]PIN_MUX!K8</f>
        <v>CLK_IN</v>
      </c>
      <c r="D4" s="109" t="s">
        <v>766</v>
      </c>
      <c r="E4" s="110" t="s">
        <v>527</v>
      </c>
      <c r="F4" s="110" t="s">
        <v>483</v>
      </c>
      <c r="G4" s="111" t="s">
        <v>790</v>
      </c>
      <c r="H4" s="111" t="s">
        <v>782</v>
      </c>
      <c r="I4" s="110" t="s">
        <v>758</v>
      </c>
      <c r="J4" s="110" t="s">
        <v>759</v>
      </c>
      <c r="K4" s="118" t="s">
        <v>774</v>
      </c>
      <c r="L4" s="118" t="s">
        <v>774</v>
      </c>
    </row>
    <row r="5" spans="1:13" ht="17.25">
      <c r="A5" s="106">
        <f>PIN_MUX!C4</f>
        <v>42</v>
      </c>
      <c r="B5" s="107" t="str">
        <f>PIN_MUX!D4</f>
        <v>CLK</v>
      </c>
      <c r="C5" s="108" t="str">
        <f>[1]PIN_MUX!K9</f>
        <v>CLK_OUT</v>
      </c>
      <c r="D5" s="109" t="s">
        <v>766</v>
      </c>
      <c r="E5" s="110" t="s">
        <v>760</v>
      </c>
      <c r="F5" s="110" t="s">
        <v>761</v>
      </c>
      <c r="G5" s="111" t="s">
        <v>791</v>
      </c>
      <c r="H5" s="111" t="s">
        <v>784</v>
      </c>
      <c r="I5" s="110" t="s">
        <v>758</v>
      </c>
      <c r="J5" s="110" t="s">
        <v>762</v>
      </c>
      <c r="K5" s="118" t="s">
        <v>774</v>
      </c>
      <c r="L5" s="118" t="s">
        <v>774</v>
      </c>
    </row>
    <row r="6" spans="1:13" ht="17.25">
      <c r="A6" s="106">
        <f>PIN_MUX!C5</f>
        <v>77</v>
      </c>
      <c r="B6" s="107" t="str">
        <f>PIN_MUX!D5</f>
        <v>BOOT_MODE</v>
      </c>
      <c r="C6" s="108" t="str">
        <f>[1]PIN_MUX!K10</f>
        <v>GPIO30</v>
      </c>
      <c r="D6" s="109" t="s">
        <v>767</v>
      </c>
      <c r="E6" s="110" t="s">
        <v>760</v>
      </c>
      <c r="F6" s="110" t="s">
        <v>761</v>
      </c>
      <c r="G6" s="111" t="s">
        <v>785</v>
      </c>
      <c r="H6" s="111" t="s">
        <v>782</v>
      </c>
      <c r="I6" s="110" t="s">
        <v>792</v>
      </c>
      <c r="J6" s="110" t="s">
        <v>757</v>
      </c>
      <c r="K6" s="118" t="s">
        <v>773</v>
      </c>
      <c r="L6" s="118" t="s">
        <v>772</v>
      </c>
    </row>
    <row r="7" spans="1:13" s="115" customFormat="1" ht="17.25">
      <c r="A7" s="112">
        <f>PIN_MUX!C6</f>
        <v>76</v>
      </c>
      <c r="B7" s="107" t="str">
        <f>PIN_MUX!D6</f>
        <v>BOOT_SEL1</v>
      </c>
      <c r="C7" s="113" t="str">
        <f>[1]PIN_MUX!K11</f>
        <v>GPIO31</v>
      </c>
      <c r="D7" s="109" t="s">
        <v>767</v>
      </c>
      <c r="E7" s="114" t="s">
        <v>760</v>
      </c>
      <c r="F7" s="114" t="s">
        <v>761</v>
      </c>
      <c r="G7" s="111" t="s">
        <v>785</v>
      </c>
      <c r="H7" s="111" t="s">
        <v>782</v>
      </c>
      <c r="I7" s="110" t="s">
        <v>792</v>
      </c>
      <c r="J7" s="110" t="s">
        <v>757</v>
      </c>
      <c r="K7" s="118" t="s">
        <v>773</v>
      </c>
      <c r="L7" s="118" t="s">
        <v>772</v>
      </c>
    </row>
    <row r="8" spans="1:13" s="115" customFormat="1" ht="17.25">
      <c r="A8" s="112">
        <f>PIN_MUX!C7</f>
        <v>75</v>
      </c>
      <c r="B8" s="107" t="str">
        <f>PIN_MUX!D7</f>
        <v>BOOT_SEL0</v>
      </c>
      <c r="C8" s="113" t="str">
        <f>[1]PIN_MUX!K12</f>
        <v>GPIO32</v>
      </c>
      <c r="D8" s="109" t="s">
        <v>767</v>
      </c>
      <c r="E8" s="114" t="s">
        <v>760</v>
      </c>
      <c r="F8" s="114" t="s">
        <v>761</v>
      </c>
      <c r="G8" s="111" t="s">
        <v>785</v>
      </c>
      <c r="H8" s="111" t="s">
        <v>782</v>
      </c>
      <c r="I8" s="110" t="s">
        <v>792</v>
      </c>
      <c r="J8" s="110" t="s">
        <v>757</v>
      </c>
      <c r="K8" s="118" t="s">
        <v>773</v>
      </c>
      <c r="L8" s="118" t="s">
        <v>772</v>
      </c>
    </row>
    <row r="9" spans="1:13" ht="17.25">
      <c r="A9" s="106">
        <f>PIN_MUX!C8</f>
        <v>23</v>
      </c>
      <c r="B9" s="107" t="str">
        <f>PIN_MUX!D8</f>
        <v>UART0_TX</v>
      </c>
      <c r="C9" s="108" t="str">
        <f>[1]PIN_MUX!K13</f>
        <v>UART0_TX</v>
      </c>
      <c r="D9" s="109" t="s">
        <v>767</v>
      </c>
      <c r="E9" s="110" t="s">
        <v>760</v>
      </c>
      <c r="F9" s="110" t="s">
        <v>761</v>
      </c>
      <c r="G9" s="111" t="s">
        <v>786</v>
      </c>
      <c r="H9" s="111" t="s">
        <v>784</v>
      </c>
      <c r="I9" s="110" t="s">
        <v>531</v>
      </c>
      <c r="J9" s="110" t="s">
        <v>762</v>
      </c>
      <c r="K9" s="118" t="s">
        <v>773</v>
      </c>
      <c r="L9" s="118" t="s">
        <v>772</v>
      </c>
    </row>
    <row r="10" spans="1:13" ht="17.25">
      <c r="A10" s="106">
        <f>PIN_MUX!C9</f>
        <v>22</v>
      </c>
      <c r="B10" s="107" t="str">
        <f>PIN_MUX!D9</f>
        <v>UART0_RX</v>
      </c>
      <c r="C10" s="108" t="str">
        <f>[1]PIN_MUX!K14</f>
        <v>UART0_RX</v>
      </c>
      <c r="D10" s="109" t="s">
        <v>767</v>
      </c>
      <c r="E10" s="110" t="s">
        <v>760</v>
      </c>
      <c r="F10" s="110" t="s">
        <v>761</v>
      </c>
      <c r="G10" s="111" t="s">
        <v>785</v>
      </c>
      <c r="H10" s="111" t="s">
        <v>782</v>
      </c>
      <c r="I10" s="110" t="s">
        <v>531</v>
      </c>
      <c r="J10" s="110" t="s">
        <v>757</v>
      </c>
      <c r="K10" s="118" t="s">
        <v>773</v>
      </c>
      <c r="L10" s="118" t="s">
        <v>772</v>
      </c>
      <c r="M10" s="104" t="s">
        <v>795</v>
      </c>
    </row>
    <row r="11" spans="1:13" ht="17.25">
      <c r="A11" s="106">
        <f>PIN_MUX!C10</f>
        <v>11</v>
      </c>
      <c r="B11" s="107" t="str">
        <f>PIN_MUX!D10</f>
        <v>I2C0_SCL</v>
      </c>
      <c r="C11" s="108" t="str">
        <f>[1]PIN_MUX!L15</f>
        <v>GPIO35</v>
      </c>
      <c r="D11" s="109" t="s">
        <v>768</v>
      </c>
      <c r="E11" s="110" t="s">
        <v>760</v>
      </c>
      <c r="F11" s="110" t="s">
        <v>761</v>
      </c>
      <c r="G11" s="111" t="s">
        <v>785</v>
      </c>
      <c r="H11" s="111" t="s">
        <v>782</v>
      </c>
      <c r="I11" s="110" t="s">
        <v>763</v>
      </c>
      <c r="J11" s="110" t="s">
        <v>757</v>
      </c>
      <c r="K11" s="118" t="s">
        <v>773</v>
      </c>
      <c r="L11" s="118" t="s">
        <v>772</v>
      </c>
    </row>
    <row r="12" spans="1:13" ht="17.25">
      <c r="A12" s="106">
        <f>PIN_MUX!C11</f>
        <v>10</v>
      </c>
      <c r="B12" s="107" t="str">
        <f>PIN_MUX!D11</f>
        <v>I2C0_SDA</v>
      </c>
      <c r="C12" s="108" t="str">
        <f>[1]PIN_MUX!L16</f>
        <v>GPIO36</v>
      </c>
      <c r="D12" s="109" t="s">
        <v>768</v>
      </c>
      <c r="E12" s="110" t="s">
        <v>760</v>
      </c>
      <c r="F12" s="110" t="s">
        <v>761</v>
      </c>
      <c r="G12" s="111" t="s">
        <v>785</v>
      </c>
      <c r="H12" s="111" t="s">
        <v>782</v>
      </c>
      <c r="I12" s="110" t="s">
        <v>763</v>
      </c>
      <c r="J12" s="110" t="s">
        <v>757</v>
      </c>
      <c r="K12" s="118" t="s">
        <v>773</v>
      </c>
      <c r="L12" s="118" t="s">
        <v>772</v>
      </c>
    </row>
    <row r="13" spans="1:13" ht="17.25">
      <c r="A13" s="106">
        <f>PIN_MUX!C12</f>
        <v>9</v>
      </c>
      <c r="B13" s="107" t="str">
        <f>PIN_MUX!D12</f>
        <v>SENSOR_CLK</v>
      </c>
      <c r="C13" s="108" t="str">
        <f>[1]PIN_MUX!L17</f>
        <v>GPIO12</v>
      </c>
      <c r="D13" s="109" t="s">
        <v>768</v>
      </c>
      <c r="E13" s="110" t="s">
        <v>760</v>
      </c>
      <c r="F13" s="110" t="s">
        <v>761</v>
      </c>
      <c r="G13" s="111" t="s">
        <v>787</v>
      </c>
      <c r="H13" s="111" t="s">
        <v>782</v>
      </c>
      <c r="I13" s="110" t="s">
        <v>780</v>
      </c>
      <c r="J13" s="110" t="s">
        <v>757</v>
      </c>
      <c r="K13" s="118" t="s">
        <v>773</v>
      </c>
      <c r="L13" s="118" t="s">
        <v>772</v>
      </c>
    </row>
    <row r="14" spans="1:13" ht="17.25">
      <c r="A14" s="106">
        <f>PIN_MUX!C13</f>
        <v>8</v>
      </c>
      <c r="B14" s="107" t="str">
        <f>PIN_MUX!D13</f>
        <v>SENSOR_RSTN</v>
      </c>
      <c r="C14" s="108" t="str">
        <f>[1]PIN_MUX!K18</f>
        <v>GPIO13</v>
      </c>
      <c r="D14" s="109" t="s">
        <v>767</v>
      </c>
      <c r="E14" s="110" t="s">
        <v>760</v>
      </c>
      <c r="F14" s="110" t="s">
        <v>761</v>
      </c>
      <c r="G14" s="111" t="s">
        <v>787</v>
      </c>
      <c r="H14" s="111" t="s">
        <v>782</v>
      </c>
      <c r="I14" s="110" t="s">
        <v>780</v>
      </c>
      <c r="J14" s="110" t="s">
        <v>757</v>
      </c>
      <c r="K14" s="118" t="s">
        <v>773</v>
      </c>
      <c r="L14" s="118" t="s">
        <v>772</v>
      </c>
    </row>
    <row r="15" spans="1:13" ht="17.25">
      <c r="A15" s="106">
        <f>PIN_MUX!C14</f>
        <v>59</v>
      </c>
      <c r="B15" s="107" t="str">
        <f>PIN_MUX!D14</f>
        <v>UART1_TX</v>
      </c>
      <c r="C15" s="108" t="str">
        <f>[1]PIN_MUX!L20</f>
        <v>GPIO39</v>
      </c>
      <c r="D15" s="109" t="s">
        <v>768</v>
      </c>
      <c r="E15" s="110" t="s">
        <v>760</v>
      </c>
      <c r="F15" s="110" t="s">
        <v>761</v>
      </c>
      <c r="G15" s="111" t="s">
        <v>787</v>
      </c>
      <c r="H15" s="111" t="s">
        <v>782</v>
      </c>
      <c r="I15" s="110" t="s">
        <v>780</v>
      </c>
      <c r="J15" s="110" t="s">
        <v>757</v>
      </c>
      <c r="K15" s="118" t="s">
        <v>773</v>
      </c>
      <c r="L15" s="118" t="s">
        <v>772</v>
      </c>
    </row>
    <row r="16" spans="1:13" ht="17.25">
      <c r="A16" s="106">
        <f>PIN_MUX!C15</f>
        <v>58</v>
      </c>
      <c r="B16" s="107" t="str">
        <f>PIN_MUX!D15</f>
        <v>UART1_RX</v>
      </c>
      <c r="C16" s="108" t="str">
        <f>[1]PIN_MUX!L21</f>
        <v>GPIO40</v>
      </c>
      <c r="D16" s="109" t="s">
        <v>768</v>
      </c>
      <c r="E16" s="110" t="s">
        <v>760</v>
      </c>
      <c r="F16" s="110" t="s">
        <v>761</v>
      </c>
      <c r="G16" s="111" t="s">
        <v>787</v>
      </c>
      <c r="H16" s="111" t="s">
        <v>782</v>
      </c>
      <c r="I16" s="110" t="s">
        <v>780</v>
      </c>
      <c r="J16" s="110" t="s">
        <v>757</v>
      </c>
      <c r="K16" s="118" t="s">
        <v>773</v>
      </c>
      <c r="L16" s="118" t="s">
        <v>772</v>
      </c>
    </row>
    <row r="17" spans="1:13" ht="17.25">
      <c r="A17" s="106">
        <f>PIN_MUX!C16</f>
        <v>55</v>
      </c>
      <c r="B17" s="107" t="str">
        <f>PIN_MUX!D16</f>
        <v>I2C1_SCL</v>
      </c>
      <c r="C17" s="108" t="str">
        <f>[1]PIN_MUX!L22</f>
        <v>GPIO37</v>
      </c>
      <c r="D17" s="109" t="s">
        <v>768</v>
      </c>
      <c r="E17" s="110" t="s">
        <v>760</v>
      </c>
      <c r="F17" s="110" t="s">
        <v>761</v>
      </c>
      <c r="G17" s="111" t="s">
        <v>787</v>
      </c>
      <c r="H17" s="111" t="s">
        <v>782</v>
      </c>
      <c r="I17" s="110" t="s">
        <v>780</v>
      </c>
      <c r="J17" s="110" t="s">
        <v>757</v>
      </c>
      <c r="K17" s="118" t="s">
        <v>773</v>
      </c>
      <c r="L17" s="118" t="s">
        <v>772</v>
      </c>
    </row>
    <row r="18" spans="1:13" ht="17.25">
      <c r="A18" s="106">
        <f>PIN_MUX!C17</f>
        <v>54</v>
      </c>
      <c r="B18" s="107" t="str">
        <f>PIN_MUX!D17</f>
        <v>I2C1_SDA</v>
      </c>
      <c r="C18" s="108" t="str">
        <f>[1]PIN_MUX!L23</f>
        <v>GPIO38</v>
      </c>
      <c r="D18" s="109" t="s">
        <v>768</v>
      </c>
      <c r="E18" s="110" t="s">
        <v>760</v>
      </c>
      <c r="F18" s="110" t="s">
        <v>761</v>
      </c>
      <c r="G18" s="111" t="s">
        <v>787</v>
      </c>
      <c r="H18" s="111" t="s">
        <v>782</v>
      </c>
      <c r="I18" s="110" t="s">
        <v>780</v>
      </c>
      <c r="J18" s="110" t="s">
        <v>757</v>
      </c>
      <c r="K18" s="118" t="s">
        <v>773</v>
      </c>
      <c r="L18" s="118" t="s">
        <v>772</v>
      </c>
    </row>
    <row r="19" spans="1:13" ht="17.25">
      <c r="A19" s="106">
        <f>PIN_MUX!C18</f>
        <v>57</v>
      </c>
      <c r="B19" s="107" t="str">
        <f>PIN_MUX!D18</f>
        <v>UART2_TX</v>
      </c>
      <c r="C19" s="108" t="str">
        <f>[1]PIN_MUX!L24</f>
        <v>GPIO41</v>
      </c>
      <c r="D19" s="109" t="s">
        <v>768</v>
      </c>
      <c r="E19" s="110" t="s">
        <v>760</v>
      </c>
      <c r="F19" s="110" t="s">
        <v>761</v>
      </c>
      <c r="G19" s="111" t="s">
        <v>787</v>
      </c>
      <c r="H19" s="111" t="s">
        <v>782</v>
      </c>
      <c r="I19" s="110" t="s">
        <v>780</v>
      </c>
      <c r="J19" s="110" t="s">
        <v>757</v>
      </c>
      <c r="K19" s="118" t="s">
        <v>773</v>
      </c>
      <c r="L19" s="118" t="s">
        <v>772</v>
      </c>
    </row>
    <row r="20" spans="1:13" ht="17.25">
      <c r="A20" s="106">
        <f>PIN_MUX!C19</f>
        <v>56</v>
      </c>
      <c r="B20" s="107" t="str">
        <f>PIN_MUX!D19</f>
        <v>UART2_RX</v>
      </c>
      <c r="C20" s="108" t="str">
        <f>[1]PIN_MUX!L25</f>
        <v>GPIO42</v>
      </c>
      <c r="D20" s="109" t="s">
        <v>768</v>
      </c>
      <c r="E20" s="110" t="s">
        <v>760</v>
      </c>
      <c r="F20" s="110" t="s">
        <v>761</v>
      </c>
      <c r="G20" s="111" t="s">
        <v>787</v>
      </c>
      <c r="H20" s="111" t="s">
        <v>782</v>
      </c>
      <c r="I20" s="110" t="s">
        <v>780</v>
      </c>
      <c r="J20" s="110" t="s">
        <v>757</v>
      </c>
      <c r="K20" s="118" t="s">
        <v>773</v>
      </c>
      <c r="L20" s="118" t="s">
        <v>772</v>
      </c>
    </row>
    <row r="21" spans="1:13" ht="17.25">
      <c r="A21" s="106">
        <f>PIN_MUX!C20</f>
        <v>60</v>
      </c>
      <c r="B21" s="107" t="str">
        <f>PIN_MUX!D20</f>
        <v>USB_PWREN</v>
      </c>
      <c r="C21" s="108" t="str">
        <f>[1]PIN_MUX!L26</f>
        <v>GPIO47</v>
      </c>
      <c r="D21" s="109" t="s">
        <v>768</v>
      </c>
      <c r="E21" s="110" t="s">
        <v>760</v>
      </c>
      <c r="F21" s="110" t="s">
        <v>761</v>
      </c>
      <c r="G21" s="111" t="s">
        <v>787</v>
      </c>
      <c r="H21" s="111" t="s">
        <v>782</v>
      </c>
      <c r="I21" s="110" t="s">
        <v>780</v>
      </c>
      <c r="J21" s="110" t="s">
        <v>757</v>
      </c>
      <c r="K21" s="118" t="s">
        <v>773</v>
      </c>
      <c r="L21" s="118" t="s">
        <v>772</v>
      </c>
    </row>
    <row r="22" spans="1:13" ht="17.25">
      <c r="A22" s="106">
        <f>PIN_MUX!C21</f>
        <v>25</v>
      </c>
      <c r="B22" s="107" t="str">
        <f>PIN_MUX!D21</f>
        <v>PWM0</v>
      </c>
      <c r="C22" s="108" t="str">
        <f>[1]PIN_MUX!L27</f>
        <v>GPIO43</v>
      </c>
      <c r="D22" s="109" t="s">
        <v>768</v>
      </c>
      <c r="E22" s="110" t="s">
        <v>760</v>
      </c>
      <c r="F22" s="110" t="s">
        <v>761</v>
      </c>
      <c r="G22" s="111" t="s">
        <v>787</v>
      </c>
      <c r="H22" s="111" t="s">
        <v>782</v>
      </c>
      <c r="I22" s="110" t="s">
        <v>780</v>
      </c>
      <c r="J22" s="110" t="s">
        <v>757</v>
      </c>
      <c r="K22" s="118" t="s">
        <v>773</v>
      </c>
      <c r="L22" s="118" t="s">
        <v>772</v>
      </c>
    </row>
    <row r="23" spans="1:13" ht="17.25">
      <c r="A23" s="106">
        <f>PIN_MUX!C22</f>
        <v>24</v>
      </c>
      <c r="B23" s="107" t="str">
        <f>PIN_MUX!D22</f>
        <v>PWM1</v>
      </c>
      <c r="C23" s="108" t="str">
        <f>[1]PIN_MUX!L28</f>
        <v>GPIO44</v>
      </c>
      <c r="D23" s="109" t="s">
        <v>768</v>
      </c>
      <c r="E23" s="110" t="s">
        <v>760</v>
      </c>
      <c r="F23" s="110" t="s">
        <v>761</v>
      </c>
      <c r="G23" s="111" t="s">
        <v>787</v>
      </c>
      <c r="H23" s="111" t="s">
        <v>782</v>
      </c>
      <c r="I23" s="110" t="s">
        <v>780</v>
      </c>
      <c r="J23" s="110" t="s">
        <v>757</v>
      </c>
      <c r="K23" s="118" t="s">
        <v>773</v>
      </c>
      <c r="L23" s="118" t="s">
        <v>772</v>
      </c>
    </row>
    <row r="24" spans="1:13" ht="17.25">
      <c r="A24" s="106">
        <f>PIN_MUX!C23</f>
        <v>47</v>
      </c>
      <c r="B24" s="107" t="str">
        <f>PIN_MUX!D23</f>
        <v>GPIO0</v>
      </c>
      <c r="C24" s="108" t="str">
        <f>[1]PIN_MUX!K48</f>
        <v>ARM_JTAG_TRSTN</v>
      </c>
      <c r="D24" s="109" t="s">
        <v>767</v>
      </c>
      <c r="E24" s="110" t="s">
        <v>760</v>
      </c>
      <c r="F24" s="110" t="s">
        <v>761</v>
      </c>
      <c r="G24" s="111" t="s">
        <v>783</v>
      </c>
      <c r="H24" s="111" t="s">
        <v>782</v>
      </c>
      <c r="I24" s="110" t="s">
        <v>760</v>
      </c>
      <c r="J24" s="110" t="s">
        <v>757</v>
      </c>
      <c r="K24" s="118" t="s">
        <v>773</v>
      </c>
      <c r="L24" s="118" t="s">
        <v>772</v>
      </c>
    </row>
    <row r="25" spans="1:13" ht="17.25">
      <c r="A25" s="106">
        <f>PIN_MUX!C24</f>
        <v>48</v>
      </c>
      <c r="B25" s="107" t="str">
        <f>PIN_MUX!D24</f>
        <v>GPIO1</v>
      </c>
      <c r="C25" s="108" t="str">
        <f>[1]PIN_MUX!K49</f>
        <v>ARM_JTAG_TDO</v>
      </c>
      <c r="D25" s="109" t="s">
        <v>767</v>
      </c>
      <c r="E25" s="110" t="s">
        <v>760</v>
      </c>
      <c r="F25" s="110" t="s">
        <v>761</v>
      </c>
      <c r="G25" s="111" t="s">
        <v>783</v>
      </c>
      <c r="H25" s="111" t="s">
        <v>782</v>
      </c>
      <c r="I25" s="119" t="s">
        <v>760</v>
      </c>
      <c r="J25" s="119" t="s">
        <v>528</v>
      </c>
      <c r="K25" s="118" t="s">
        <v>773</v>
      </c>
      <c r="L25" s="118" t="s">
        <v>772</v>
      </c>
      <c r="M25" s="104" t="s">
        <v>796</v>
      </c>
    </row>
    <row r="26" spans="1:13" ht="17.25">
      <c r="A26" s="106">
        <f>PIN_MUX!C25</f>
        <v>49</v>
      </c>
      <c r="B26" s="107" t="str">
        <f>PIN_MUX!D25</f>
        <v>GPIO2</v>
      </c>
      <c r="C26" s="108" t="str">
        <f>[1]PIN_MUX!K50</f>
        <v>ARM_JTAG_TDI</v>
      </c>
      <c r="D26" s="109" t="s">
        <v>767</v>
      </c>
      <c r="E26" s="110" t="s">
        <v>760</v>
      </c>
      <c r="F26" s="110" t="s">
        <v>761</v>
      </c>
      <c r="G26" s="111" t="s">
        <v>783</v>
      </c>
      <c r="H26" s="111" t="s">
        <v>782</v>
      </c>
      <c r="I26" s="110" t="s">
        <v>760</v>
      </c>
      <c r="J26" s="110" t="s">
        <v>757</v>
      </c>
      <c r="K26" s="118" t="s">
        <v>773</v>
      </c>
      <c r="L26" s="118" t="s">
        <v>772</v>
      </c>
    </row>
    <row r="27" spans="1:13" ht="17.25">
      <c r="A27" s="106">
        <f>PIN_MUX!C26</f>
        <v>50</v>
      </c>
      <c r="B27" s="107" t="str">
        <f>PIN_MUX!D26</f>
        <v>GPIO3</v>
      </c>
      <c r="C27" s="108" t="str">
        <f>[1]PIN_MUX!K51</f>
        <v>ARM_JTAG_TCK</v>
      </c>
      <c r="D27" s="109" t="s">
        <v>767</v>
      </c>
      <c r="E27" s="110" t="s">
        <v>760</v>
      </c>
      <c r="F27" s="110" t="s">
        <v>761</v>
      </c>
      <c r="G27" s="111" t="s">
        <v>783</v>
      </c>
      <c r="H27" s="111" t="s">
        <v>782</v>
      </c>
      <c r="I27" s="110" t="s">
        <v>760</v>
      </c>
      <c r="J27" s="110" t="s">
        <v>757</v>
      </c>
      <c r="K27" s="118" t="s">
        <v>773</v>
      </c>
      <c r="L27" s="118" t="s">
        <v>772</v>
      </c>
    </row>
    <row r="28" spans="1:13" ht="17.25">
      <c r="A28" s="106">
        <f>PIN_MUX!C27</f>
        <v>51</v>
      </c>
      <c r="B28" s="107" t="str">
        <f>PIN_MUX!D27</f>
        <v>GPIO4</v>
      </c>
      <c r="C28" s="108" t="str">
        <f>[1]PIN_MUX!K52</f>
        <v>ARM_JTAG_TMS</v>
      </c>
      <c r="D28" s="109" t="s">
        <v>767</v>
      </c>
      <c r="E28" s="110" t="s">
        <v>760</v>
      </c>
      <c r="F28" s="110" t="s">
        <v>761</v>
      </c>
      <c r="G28" s="111" t="s">
        <v>787</v>
      </c>
      <c r="H28" s="111" t="s">
        <v>782</v>
      </c>
      <c r="I28" s="110" t="s">
        <v>760</v>
      </c>
      <c r="J28" s="110" t="s">
        <v>757</v>
      </c>
      <c r="K28" s="118" t="s">
        <v>773</v>
      </c>
      <c r="L28" s="118" t="s">
        <v>772</v>
      </c>
    </row>
    <row r="29" spans="1:13" ht="17.25">
      <c r="A29" s="106">
        <f>PIN_MUX!C28</f>
        <v>26</v>
      </c>
      <c r="B29" s="107" t="str">
        <f>PIN_MUX!D28</f>
        <v>SSI0_CLK</v>
      </c>
      <c r="C29" s="108" t="str">
        <f>[1]PIN_MUX!K53</f>
        <v>SSI0_CLK</v>
      </c>
      <c r="D29" s="109" t="s">
        <v>767</v>
      </c>
      <c r="E29" s="110" t="s">
        <v>760</v>
      </c>
      <c r="F29" s="110" t="s">
        <v>761</v>
      </c>
      <c r="G29" s="111" t="s">
        <v>788</v>
      </c>
      <c r="H29" s="111" t="s">
        <v>784</v>
      </c>
      <c r="I29" s="110" t="s">
        <v>758</v>
      </c>
      <c r="J29" s="110" t="s">
        <v>762</v>
      </c>
      <c r="K29" s="118" t="s">
        <v>773</v>
      </c>
      <c r="L29" s="118" t="s">
        <v>772</v>
      </c>
    </row>
    <row r="30" spans="1:13" ht="17.25">
      <c r="A30" s="106">
        <f>PIN_MUX!C29</f>
        <v>27</v>
      </c>
      <c r="B30" s="107" t="str">
        <f>PIN_MUX!D29</f>
        <v>SSI0_CSN_0</v>
      </c>
      <c r="C30" s="108" t="str">
        <f>[1]PIN_MUX!K54</f>
        <v>SSI0_CSN_0</v>
      </c>
      <c r="D30" s="109" t="s">
        <v>767</v>
      </c>
      <c r="E30" s="110" t="s">
        <v>760</v>
      </c>
      <c r="F30" s="110" t="s">
        <v>761</v>
      </c>
      <c r="G30" s="111" t="s">
        <v>786</v>
      </c>
      <c r="H30" s="111" t="s">
        <v>784</v>
      </c>
      <c r="I30" s="110" t="s">
        <v>758</v>
      </c>
      <c r="J30" s="110" t="s">
        <v>764</v>
      </c>
      <c r="K30" s="118" t="s">
        <v>773</v>
      </c>
      <c r="L30" s="118" t="s">
        <v>772</v>
      </c>
      <c r="M30" s="104" t="s">
        <v>797</v>
      </c>
    </row>
    <row r="31" spans="1:13" ht="17.25">
      <c r="A31" s="106">
        <f>PIN_MUX!C30</f>
        <v>28</v>
      </c>
      <c r="B31" s="107" t="str">
        <f>PIN_MUX!D30</f>
        <v>SSI0_TXD</v>
      </c>
      <c r="C31" s="108" t="str">
        <f>[1]PIN_MUX!K55</f>
        <v>SSI0_TXD(SSI0_D0)</v>
      </c>
      <c r="D31" s="109" t="s">
        <v>767</v>
      </c>
      <c r="E31" s="110" t="s">
        <v>760</v>
      </c>
      <c r="F31" s="110" t="s">
        <v>761</v>
      </c>
      <c r="G31" s="111" t="s">
        <v>787</v>
      </c>
      <c r="H31" s="111" t="s">
        <v>778</v>
      </c>
      <c r="I31" s="120" t="s">
        <v>531</v>
      </c>
      <c r="J31" s="120" t="s">
        <v>764</v>
      </c>
      <c r="K31" s="118" t="s">
        <v>773</v>
      </c>
      <c r="L31" s="118" t="s">
        <v>772</v>
      </c>
      <c r="M31" s="104" t="s">
        <v>798</v>
      </c>
    </row>
    <row r="32" spans="1:13" ht="17.25">
      <c r="A32" s="106">
        <f>PIN_MUX!C31</f>
        <v>29</v>
      </c>
      <c r="B32" s="107" t="str">
        <f>PIN_MUX!D31</f>
        <v>SSI0_RXD</v>
      </c>
      <c r="C32" s="108" t="str">
        <f>[1]PIN_MUX!K56</f>
        <v>SSI0_RXD(SSI0_D1)</v>
      </c>
      <c r="D32" s="109" t="s">
        <v>767</v>
      </c>
      <c r="E32" s="110" t="s">
        <v>760</v>
      </c>
      <c r="F32" s="110" t="s">
        <v>761</v>
      </c>
      <c r="G32" s="111" t="s">
        <v>787</v>
      </c>
      <c r="H32" s="111" t="s">
        <v>782</v>
      </c>
      <c r="I32" s="120" t="s">
        <v>792</v>
      </c>
      <c r="J32" s="120" t="s">
        <v>757</v>
      </c>
      <c r="K32" s="118" t="s">
        <v>773</v>
      </c>
      <c r="L32" s="118" t="s">
        <v>772</v>
      </c>
    </row>
    <row r="33" spans="1:13" ht="17.25">
      <c r="A33" s="106">
        <f>PIN_MUX!C32</f>
        <v>30</v>
      </c>
      <c r="B33" s="107" t="str">
        <f>PIN_MUX!D32</f>
        <v>SSI0_D2</v>
      </c>
      <c r="C33" s="108" t="str">
        <f>[1]PIN_MUX!K57</f>
        <v>SSI0_D2</v>
      </c>
      <c r="D33" s="109" t="s">
        <v>767</v>
      </c>
      <c r="E33" s="110" t="s">
        <v>760</v>
      </c>
      <c r="F33" s="110" t="s">
        <v>761</v>
      </c>
      <c r="G33" s="111" t="s">
        <v>787</v>
      </c>
      <c r="H33" s="111" t="s">
        <v>782</v>
      </c>
      <c r="I33" s="120" t="s">
        <v>780</v>
      </c>
      <c r="J33" s="120" t="s">
        <v>757</v>
      </c>
      <c r="K33" s="118" t="s">
        <v>773</v>
      </c>
      <c r="L33" s="118" t="s">
        <v>772</v>
      </c>
    </row>
    <row r="34" spans="1:13" ht="17.25">
      <c r="A34" s="106">
        <f>PIN_MUX!C33</f>
        <v>31</v>
      </c>
      <c r="B34" s="107" t="str">
        <f>PIN_MUX!D33</f>
        <v>SSI0_D3</v>
      </c>
      <c r="C34" s="108" t="str">
        <f>[1]PIN_MUX!K58</f>
        <v>SSI0_D3</v>
      </c>
      <c r="D34" s="109" t="s">
        <v>767</v>
      </c>
      <c r="E34" s="110" t="s">
        <v>760</v>
      </c>
      <c r="F34" s="110" t="s">
        <v>761</v>
      </c>
      <c r="G34" s="111" t="s">
        <v>787</v>
      </c>
      <c r="H34" s="111" t="s">
        <v>782</v>
      </c>
      <c r="I34" s="120" t="s">
        <v>780</v>
      </c>
      <c r="J34" s="120" t="s">
        <v>757</v>
      </c>
      <c r="K34" s="118" t="s">
        <v>773</v>
      </c>
      <c r="L34" s="118" t="s">
        <v>772</v>
      </c>
    </row>
    <row r="35" spans="1:13" ht="17.25">
      <c r="A35" s="106">
        <f>PIN_MUX!C34</f>
        <v>88</v>
      </c>
      <c r="B35" s="107" t="str">
        <f>PIN_MUX!D34</f>
        <v>SD0_CD</v>
      </c>
      <c r="C35" s="108" t="str">
        <f>[1]PIN_MUX!K63</f>
        <v>SD0_CD</v>
      </c>
      <c r="D35" s="109" t="s">
        <v>767</v>
      </c>
      <c r="E35" s="110" t="s">
        <v>760</v>
      </c>
      <c r="F35" s="110" t="s">
        <v>761</v>
      </c>
      <c r="G35" s="111" t="s">
        <v>787</v>
      </c>
      <c r="H35" s="111" t="s">
        <v>782</v>
      </c>
      <c r="I35" s="110" t="s">
        <v>780</v>
      </c>
      <c r="J35" s="110" t="s">
        <v>757</v>
      </c>
      <c r="K35" s="118" t="s">
        <v>773</v>
      </c>
      <c r="L35" s="118" t="s">
        <v>772</v>
      </c>
    </row>
    <row r="36" spans="1:13" ht="17.25">
      <c r="A36" s="106">
        <f>PIN_MUX!C35</f>
        <v>87</v>
      </c>
      <c r="B36" s="107" t="str">
        <f>PIN_MUX!D35</f>
        <v>SD0_CLK</v>
      </c>
      <c r="C36" s="108" t="str">
        <f>[1]PIN_MUX!K64</f>
        <v>SD0_CLK</v>
      </c>
      <c r="D36" s="109" t="s">
        <v>767</v>
      </c>
      <c r="E36" s="110" t="s">
        <v>760</v>
      </c>
      <c r="F36" s="110" t="s">
        <v>761</v>
      </c>
      <c r="G36" s="111" t="s">
        <v>788</v>
      </c>
      <c r="H36" s="111" t="s">
        <v>784</v>
      </c>
      <c r="I36" s="110" t="s">
        <v>793</v>
      </c>
      <c r="J36" s="110" t="s">
        <v>762</v>
      </c>
      <c r="K36" s="118" t="s">
        <v>773</v>
      </c>
      <c r="L36" s="118" t="s">
        <v>772</v>
      </c>
    </row>
    <row r="37" spans="1:13" ht="17.25">
      <c r="A37" s="106">
        <f>PIN_MUX!C36</f>
        <v>86</v>
      </c>
      <c r="B37" s="107" t="str">
        <f>PIN_MUX!D36</f>
        <v>SD0_CMD_RSP</v>
      </c>
      <c r="C37" s="108" t="str">
        <f>[1]PIN_MUX!K65</f>
        <v>SD0_CMD_RSP</v>
      </c>
      <c r="D37" s="109" t="s">
        <v>767</v>
      </c>
      <c r="E37" s="110" t="s">
        <v>760</v>
      </c>
      <c r="F37" s="110" t="s">
        <v>761</v>
      </c>
      <c r="G37" s="111" t="s">
        <v>787</v>
      </c>
      <c r="H37" s="111" t="s">
        <v>782</v>
      </c>
      <c r="I37" s="110" t="s">
        <v>793</v>
      </c>
      <c r="J37" s="110" t="s">
        <v>794</v>
      </c>
      <c r="K37" s="118" t="s">
        <v>773</v>
      </c>
      <c r="L37" s="118" t="s">
        <v>772</v>
      </c>
      <c r="M37" s="115" t="s">
        <v>799</v>
      </c>
    </row>
    <row r="38" spans="1:13" ht="17.25">
      <c r="A38" s="106">
        <f>PIN_MUX!C37</f>
        <v>85</v>
      </c>
      <c r="B38" s="107" t="str">
        <f>PIN_MUX!D37</f>
        <v>SD0_DATA_0</v>
      </c>
      <c r="C38" s="108" t="str">
        <f>[1]PIN_MUX!K66</f>
        <v>SD0_DATA_0</v>
      </c>
      <c r="D38" s="109" t="s">
        <v>767</v>
      </c>
      <c r="E38" s="110" t="s">
        <v>760</v>
      </c>
      <c r="F38" s="110" t="s">
        <v>761</v>
      </c>
      <c r="G38" s="111" t="s">
        <v>787</v>
      </c>
      <c r="H38" s="111" t="s">
        <v>782</v>
      </c>
      <c r="I38" s="110" t="s">
        <v>780</v>
      </c>
      <c r="J38" s="110" t="s">
        <v>757</v>
      </c>
      <c r="K38" s="118" t="s">
        <v>773</v>
      </c>
      <c r="L38" s="118" t="s">
        <v>772</v>
      </c>
    </row>
    <row r="39" spans="1:13" ht="17.25">
      <c r="A39" s="106">
        <f>PIN_MUX!C38</f>
        <v>84</v>
      </c>
      <c r="B39" s="107" t="str">
        <f>PIN_MUX!D38</f>
        <v>SD0_DATA_1</v>
      </c>
      <c r="C39" s="108" t="str">
        <f>[1]PIN_MUX!K67</f>
        <v>SD0_DATA_1</v>
      </c>
      <c r="D39" s="109" t="s">
        <v>767</v>
      </c>
      <c r="E39" s="110" t="s">
        <v>760</v>
      </c>
      <c r="F39" s="110" t="s">
        <v>761</v>
      </c>
      <c r="G39" s="111" t="s">
        <v>787</v>
      </c>
      <c r="H39" s="111" t="s">
        <v>782</v>
      </c>
      <c r="I39" s="110" t="s">
        <v>780</v>
      </c>
      <c r="J39" s="110" t="s">
        <v>757</v>
      </c>
      <c r="K39" s="118" t="s">
        <v>773</v>
      </c>
      <c r="L39" s="118" t="s">
        <v>772</v>
      </c>
    </row>
    <row r="40" spans="1:13" ht="17.25">
      <c r="A40" s="106">
        <f>PIN_MUX!C39</f>
        <v>83</v>
      </c>
      <c r="B40" s="107" t="str">
        <f>PIN_MUX!D39</f>
        <v>SD0_DATA_2</v>
      </c>
      <c r="C40" s="108" t="str">
        <f>[1]PIN_MUX!K68</f>
        <v>SD0_DATA_2</v>
      </c>
      <c r="D40" s="109" t="s">
        <v>767</v>
      </c>
      <c r="E40" s="110" t="s">
        <v>760</v>
      </c>
      <c r="F40" s="110" t="s">
        <v>761</v>
      </c>
      <c r="G40" s="111" t="s">
        <v>787</v>
      </c>
      <c r="H40" s="111" t="s">
        <v>782</v>
      </c>
      <c r="I40" s="110" t="s">
        <v>780</v>
      </c>
      <c r="J40" s="110" t="s">
        <v>757</v>
      </c>
      <c r="K40" s="118" t="s">
        <v>773</v>
      </c>
      <c r="L40" s="118" t="s">
        <v>772</v>
      </c>
    </row>
    <row r="41" spans="1:13" ht="17.25">
      <c r="A41" s="106">
        <f>PIN_MUX!C40</f>
        <v>82</v>
      </c>
      <c r="B41" s="107" t="str">
        <f>PIN_MUX!D40</f>
        <v>SD0_DATA_3</v>
      </c>
      <c r="C41" s="108" t="str">
        <f>[1]PIN_MUX!K69</f>
        <v>SD0_DATA_3</v>
      </c>
      <c r="D41" s="109" t="s">
        <v>767</v>
      </c>
      <c r="E41" s="110" t="s">
        <v>760</v>
      </c>
      <c r="F41" s="110" t="s">
        <v>761</v>
      </c>
      <c r="G41" s="111" t="s">
        <v>787</v>
      </c>
      <c r="H41" s="111" t="s">
        <v>782</v>
      </c>
      <c r="I41" s="110" t="s">
        <v>780</v>
      </c>
      <c r="J41" s="110" t="s">
        <v>757</v>
      </c>
      <c r="K41" s="118" t="s">
        <v>773</v>
      </c>
      <c r="L41" s="118" t="s">
        <v>772</v>
      </c>
    </row>
    <row r="42" spans="1:13" ht="17.25">
      <c r="A42" s="106">
        <f>PIN_MUX!C41</f>
        <v>12</v>
      </c>
      <c r="B42" s="107" t="str">
        <f>PIN_MUX!D41</f>
        <v>XAIN0_SADC</v>
      </c>
      <c r="C42" s="108" t="str">
        <f>[1]PIN_MUX!L70</f>
        <v>GPIO26</v>
      </c>
      <c r="D42" s="109" t="s">
        <v>768</v>
      </c>
      <c r="E42" s="110" t="s">
        <v>760</v>
      </c>
      <c r="F42" s="110" t="s">
        <v>761</v>
      </c>
      <c r="G42" s="111" t="s">
        <v>787</v>
      </c>
      <c r="H42" s="111" t="s">
        <v>782</v>
      </c>
      <c r="I42" s="110" t="s">
        <v>780</v>
      </c>
      <c r="J42" s="110" t="s">
        <v>757</v>
      </c>
      <c r="K42" s="118" t="s">
        <v>773</v>
      </c>
      <c r="L42" s="118" t="s">
        <v>772</v>
      </c>
    </row>
    <row r="43" spans="1:13" ht="17.25">
      <c r="A43" s="106">
        <f>PIN_MUX!C42</f>
        <v>13</v>
      </c>
      <c r="B43" s="107" t="str">
        <f>PIN_MUX!D42</f>
        <v>XAIN1_SADC</v>
      </c>
      <c r="C43" s="108" t="str">
        <f>[1]PIN_MUX!L71</f>
        <v>GPIO27</v>
      </c>
      <c r="D43" s="109" t="s">
        <v>768</v>
      </c>
      <c r="E43" s="110" t="s">
        <v>760</v>
      </c>
      <c r="F43" s="110" t="s">
        <v>761</v>
      </c>
      <c r="G43" s="111" t="s">
        <v>787</v>
      </c>
      <c r="H43" s="111" t="s">
        <v>782</v>
      </c>
      <c r="I43" s="110" t="s">
        <v>780</v>
      </c>
      <c r="J43" s="110" t="s">
        <v>757</v>
      </c>
      <c r="K43" s="118" t="s">
        <v>773</v>
      </c>
      <c r="L43" s="118" t="s">
        <v>772</v>
      </c>
    </row>
    <row r="44" spans="1:13" ht="17.25">
      <c r="A44" s="106">
        <f>PIN_MUX!C43</f>
        <v>80</v>
      </c>
      <c r="B44" s="107" t="str">
        <f>PIN_MUX!D43</f>
        <v>GPIO28</v>
      </c>
      <c r="C44" s="108" t="str">
        <f>[1]PIN_MUX!K74</f>
        <v>GPIO28</v>
      </c>
      <c r="D44" s="109" t="s">
        <v>767</v>
      </c>
      <c r="E44" s="110" t="s">
        <v>760</v>
      </c>
      <c r="F44" s="110" t="s">
        <v>761</v>
      </c>
      <c r="G44" s="111" t="s">
        <v>787</v>
      </c>
      <c r="H44" s="111" t="s">
        <v>782</v>
      </c>
      <c r="I44" s="110" t="s">
        <v>780</v>
      </c>
      <c r="J44" s="110" t="s">
        <v>757</v>
      </c>
      <c r="K44" s="118" t="s">
        <v>773</v>
      </c>
      <c r="L44" s="118" t="s">
        <v>772</v>
      </c>
    </row>
    <row r="45" spans="1:13" ht="17.25">
      <c r="A45" s="106">
        <f>PIN_MUX!C44</f>
        <v>81</v>
      </c>
      <c r="B45" s="107" t="str">
        <f>PIN_MUX!D44</f>
        <v>GPIO29</v>
      </c>
      <c r="C45" s="108" t="str">
        <f>[1]PIN_MUX!K75</f>
        <v>GPIO29</v>
      </c>
      <c r="D45" s="109" t="s">
        <v>767</v>
      </c>
      <c r="E45" s="110" t="s">
        <v>760</v>
      </c>
      <c r="F45" s="110" t="s">
        <v>761</v>
      </c>
      <c r="G45" s="111" t="s">
        <v>787</v>
      </c>
      <c r="H45" s="111" t="s">
        <v>782</v>
      </c>
      <c r="I45" s="110" t="s">
        <v>780</v>
      </c>
      <c r="J45" s="110" t="s">
        <v>757</v>
      </c>
      <c r="K45" s="118" t="s">
        <v>773</v>
      </c>
      <c r="L45" s="118" t="s">
        <v>772</v>
      </c>
    </row>
    <row r="46" spans="1:13" ht="17.25" thickBot="1"/>
    <row r="47" spans="1:13">
      <c r="A47" s="137" t="s">
        <v>789</v>
      </c>
      <c r="B47" s="138"/>
      <c r="C47" s="138"/>
      <c r="D47" s="138"/>
    </row>
    <row r="48" spans="1:13">
      <c r="A48" s="139"/>
      <c r="B48" s="140"/>
      <c r="C48" s="140"/>
      <c r="D48" s="140"/>
    </row>
    <row r="49" spans="1:4">
      <c r="A49" s="139"/>
      <c r="B49" s="140"/>
      <c r="C49" s="140"/>
      <c r="D49" s="140"/>
    </row>
    <row r="50" spans="1:4">
      <c r="A50" s="139"/>
      <c r="B50" s="140"/>
      <c r="C50" s="140"/>
      <c r="D50" s="140"/>
    </row>
    <row r="51" spans="1:4">
      <c r="A51" s="139"/>
      <c r="B51" s="140"/>
      <c r="C51" s="140"/>
      <c r="D51" s="140"/>
    </row>
    <row r="52" spans="1:4">
      <c r="A52" s="139"/>
      <c r="B52" s="140"/>
      <c r="C52" s="140"/>
      <c r="D52" s="140"/>
    </row>
    <row r="53" spans="1:4">
      <c r="A53" s="139"/>
      <c r="B53" s="140"/>
      <c r="C53" s="140"/>
      <c r="D53" s="140"/>
    </row>
    <row r="54" spans="1:4" ht="17.25" thickBot="1">
      <c r="A54" s="141"/>
      <c r="B54" s="142"/>
      <c r="C54" s="142"/>
      <c r="D54" s="142"/>
    </row>
  </sheetData>
  <autoFilter ref="A2:J45"/>
  <mergeCells count="8">
    <mergeCell ref="A47:D54"/>
    <mergeCell ref="E1:F1"/>
    <mergeCell ref="G1:H1"/>
    <mergeCell ref="I1:J1"/>
    <mergeCell ref="A1:A2"/>
    <mergeCell ref="B1:B2"/>
    <mergeCell ref="C1:C2"/>
    <mergeCell ref="D1:D2"/>
  </mergeCells>
  <phoneticPr fontId="13" type="noConversion"/>
  <conditionalFormatting sqref="E1 A1:C1 A3:D45">
    <cfRule type="containsText" dxfId="25" priority="79" operator="containsText" text="#N">
      <formula>NOT(ISERROR(SEARCH("#N",A1)))</formula>
    </cfRule>
    <cfRule type="containsText" dxfId="24" priority="80" operator="containsText" text="#N/A">
      <formula>NOT(ISERROR(SEARCH("#N/A",A1)))</formula>
    </cfRule>
  </conditionalFormatting>
  <conditionalFormatting sqref="G1">
    <cfRule type="containsText" dxfId="23" priority="35" operator="containsText" text="#N">
      <formula>NOT(ISERROR(SEARCH("#N",G1)))</formula>
    </cfRule>
    <cfRule type="containsText" dxfId="22" priority="36" operator="containsText" text="#N/A">
      <formula>NOT(ISERROR(SEARCH("#N/A",G1)))</formula>
    </cfRule>
  </conditionalFormatting>
  <conditionalFormatting sqref="E2 G2 I2">
    <cfRule type="containsText" dxfId="21" priority="33" operator="containsText" text="#N">
      <formula>NOT(ISERROR(SEARCH("#N",E2)))</formula>
    </cfRule>
    <cfRule type="containsText" dxfId="20" priority="34" operator="containsText" text="#N/A">
      <formula>NOT(ISERROR(SEARCH("#N/A",E2)))</formula>
    </cfRule>
  </conditionalFormatting>
  <conditionalFormatting sqref="F2 H2 J2">
    <cfRule type="containsText" dxfId="19" priority="31" operator="containsText" text="#N">
      <formula>NOT(ISERROR(SEARCH("#N",F2)))</formula>
    </cfRule>
    <cfRule type="containsText" dxfId="18" priority="32" operator="containsText" text="#N/A">
      <formula>NOT(ISERROR(SEARCH("#N/A",F2)))</formula>
    </cfRule>
  </conditionalFormatting>
  <conditionalFormatting sqref="I1">
    <cfRule type="containsText" dxfId="17" priority="29" operator="containsText" text="#N">
      <formula>NOT(ISERROR(SEARCH("#N",I1)))</formula>
    </cfRule>
    <cfRule type="containsText" dxfId="16" priority="30" operator="containsText" text="#N/A">
      <formula>NOT(ISERROR(SEARCH("#N/A",I1)))</formula>
    </cfRule>
  </conditionalFormatting>
  <conditionalFormatting sqref="D1">
    <cfRule type="containsText" dxfId="15" priority="25" operator="containsText" text="#N">
      <formula>NOT(ISERROR(SEARCH("#N",D1)))</formula>
    </cfRule>
    <cfRule type="containsText" dxfId="14" priority="26" operator="containsText" text="#N/A">
      <formula>NOT(ISERROR(SEARCH("#N/A",D1)))</formula>
    </cfRule>
  </conditionalFormatting>
  <conditionalFormatting sqref="K1">
    <cfRule type="containsText" dxfId="13" priority="15" operator="containsText" text="#N">
      <formula>NOT(ISERROR(SEARCH("#N",K1)))</formula>
    </cfRule>
    <cfRule type="containsText" dxfId="12" priority="16" operator="containsText" text="#N/A">
      <formula>NOT(ISERROR(SEARCH("#N/A",K1)))</formula>
    </cfRule>
  </conditionalFormatting>
  <conditionalFormatting sqref="K2">
    <cfRule type="containsText" dxfId="11" priority="21" operator="containsText" text="#N">
      <formula>NOT(ISERROR(SEARCH("#N",K2)))</formula>
    </cfRule>
    <cfRule type="containsText" dxfId="10" priority="22" operator="containsText" text="#N/A">
      <formula>NOT(ISERROR(SEARCH("#N/A",K2)))</formula>
    </cfRule>
  </conditionalFormatting>
  <conditionalFormatting sqref="L1">
    <cfRule type="containsText" dxfId="9" priority="13" operator="containsText" text="#N">
      <formula>NOT(ISERROR(SEARCH("#N",L1)))</formula>
    </cfRule>
    <cfRule type="containsText" dxfId="8" priority="14" operator="containsText" text="#N/A">
      <formula>NOT(ISERROR(SEARCH("#N/A",L1)))</formula>
    </cfRule>
  </conditionalFormatting>
  <conditionalFormatting sqref="L2">
    <cfRule type="containsText" dxfId="7" priority="17" operator="containsText" text="#N">
      <formula>NOT(ISERROR(SEARCH("#N",L2)))</formula>
    </cfRule>
    <cfRule type="containsText" dxfId="6" priority="18" operator="containsText" text="#N/A">
      <formula>NOT(ISERROR(SEARCH("#N/A",L2)))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1"/>
  <sheetViews>
    <sheetView topLeftCell="A145" workbookViewId="0">
      <selection activeCell="G260" sqref="G260"/>
    </sheetView>
  </sheetViews>
  <sheetFormatPr defaultRowHeight="13.5"/>
  <cols>
    <col min="1" max="1" width="19" style="28" customWidth="1"/>
    <col min="2" max="2" width="9" style="28"/>
    <col min="3" max="16384" width="9" style="30"/>
  </cols>
  <sheetData>
    <row r="1" spans="1:2">
      <c r="A1" s="28" t="s">
        <v>203</v>
      </c>
      <c r="B1" s="28" t="s">
        <v>565</v>
      </c>
    </row>
    <row r="2" spans="1:2">
      <c r="A2" s="28" t="s">
        <v>204</v>
      </c>
      <c r="B2" s="28" t="s">
        <v>284</v>
      </c>
    </row>
    <row r="3" spans="1:2">
      <c r="A3" s="28" t="s">
        <v>205</v>
      </c>
      <c r="B3" s="28" t="s">
        <v>285</v>
      </c>
    </row>
    <row r="4" spans="1:2">
      <c r="A4" s="28" t="s">
        <v>286</v>
      </c>
      <c r="B4" s="28" t="s">
        <v>420</v>
      </c>
    </row>
    <row r="5" spans="1:2">
      <c r="A5" s="28" t="s">
        <v>206</v>
      </c>
      <c r="B5" s="28" t="s">
        <v>287</v>
      </c>
    </row>
    <row r="6" spans="1:2">
      <c r="A6" s="28" t="s">
        <v>207</v>
      </c>
      <c r="B6" s="28" t="s">
        <v>288</v>
      </c>
    </row>
    <row r="7" spans="1:2">
      <c r="A7" s="28" t="s">
        <v>208</v>
      </c>
      <c r="B7" s="28" t="s">
        <v>289</v>
      </c>
    </row>
    <row r="8" spans="1:2">
      <c r="A8" s="28" t="s">
        <v>209</v>
      </c>
      <c r="B8" s="28" t="s">
        <v>290</v>
      </c>
    </row>
    <row r="9" spans="1:2">
      <c r="A9" s="28" t="s">
        <v>210</v>
      </c>
      <c r="B9" s="28" t="s">
        <v>291</v>
      </c>
    </row>
    <row r="10" spans="1:2">
      <c r="A10" s="28" t="s">
        <v>211</v>
      </c>
      <c r="B10" s="28" t="s">
        <v>292</v>
      </c>
    </row>
    <row r="11" spans="1:2">
      <c r="A11" s="28" t="s">
        <v>212</v>
      </c>
      <c r="B11" s="28" t="s">
        <v>293</v>
      </c>
    </row>
    <row r="12" spans="1:2">
      <c r="A12" s="28" t="s">
        <v>213</v>
      </c>
      <c r="B12" s="28" t="s">
        <v>294</v>
      </c>
    </row>
    <row r="13" spans="1:2">
      <c r="A13" s="28" t="s">
        <v>295</v>
      </c>
      <c r="B13" s="28" t="s">
        <v>296</v>
      </c>
    </row>
    <row r="14" spans="1:2">
      <c r="A14" s="28" t="s">
        <v>214</v>
      </c>
      <c r="B14" s="28" t="s">
        <v>297</v>
      </c>
    </row>
    <row r="15" spans="1:2">
      <c r="A15" s="28" t="s">
        <v>215</v>
      </c>
      <c r="B15" s="28" t="s">
        <v>298</v>
      </c>
    </row>
    <row r="16" spans="1:2">
      <c r="A16" s="28" t="s">
        <v>216</v>
      </c>
      <c r="B16" s="28" t="s">
        <v>299</v>
      </c>
    </row>
    <row r="17" spans="1:2">
      <c r="A17" s="28" t="s">
        <v>217</v>
      </c>
      <c r="B17" s="28" t="s">
        <v>300</v>
      </c>
    </row>
    <row r="18" spans="1:2">
      <c r="A18" s="28" t="s">
        <v>218</v>
      </c>
      <c r="B18" s="28" t="s">
        <v>301</v>
      </c>
    </row>
    <row r="19" spans="1:2">
      <c r="A19" s="28" t="s">
        <v>219</v>
      </c>
      <c r="B19" s="28" t="s">
        <v>302</v>
      </c>
    </row>
    <row r="20" spans="1:2">
      <c r="A20" s="28" t="s">
        <v>220</v>
      </c>
      <c r="B20" s="28" t="s">
        <v>303</v>
      </c>
    </row>
    <row r="21" spans="1:2">
      <c r="A21" s="28" t="s">
        <v>221</v>
      </c>
      <c r="B21" s="28" t="s">
        <v>304</v>
      </c>
    </row>
    <row r="22" spans="1:2">
      <c r="A22" s="28" t="s">
        <v>222</v>
      </c>
      <c r="B22" s="28" t="s">
        <v>305</v>
      </c>
    </row>
    <row r="23" spans="1:2">
      <c r="A23" s="28" t="s">
        <v>223</v>
      </c>
      <c r="B23" s="28" t="s">
        <v>306</v>
      </c>
    </row>
    <row r="24" spans="1:2">
      <c r="A24" s="28" t="s">
        <v>224</v>
      </c>
      <c r="B24" s="28" t="s">
        <v>307</v>
      </c>
    </row>
    <row r="25" spans="1:2">
      <c r="A25" s="28" t="s">
        <v>225</v>
      </c>
      <c r="B25" s="28" t="s">
        <v>308</v>
      </c>
    </row>
    <row r="26" spans="1:2">
      <c r="A26" s="28" t="s">
        <v>226</v>
      </c>
      <c r="B26" s="28" t="s">
        <v>309</v>
      </c>
    </row>
    <row r="27" spans="1:2">
      <c r="A27" s="28" t="s">
        <v>227</v>
      </c>
      <c r="B27" s="28" t="s">
        <v>310</v>
      </c>
    </row>
    <row r="28" spans="1:2">
      <c r="A28" s="28" t="s">
        <v>228</v>
      </c>
      <c r="B28" s="28" t="s">
        <v>311</v>
      </c>
    </row>
    <row r="29" spans="1:2">
      <c r="A29" s="28" t="s">
        <v>229</v>
      </c>
      <c r="B29" s="28" t="s">
        <v>312</v>
      </c>
    </row>
    <row r="30" spans="1:2">
      <c r="A30" s="28" t="s">
        <v>230</v>
      </c>
      <c r="B30" s="28" t="s">
        <v>313</v>
      </c>
    </row>
    <row r="31" spans="1:2">
      <c r="A31" s="28" t="s">
        <v>231</v>
      </c>
      <c r="B31" s="28" t="s">
        <v>314</v>
      </c>
    </row>
    <row r="32" spans="1:2">
      <c r="A32" s="28" t="s">
        <v>232</v>
      </c>
      <c r="B32" s="28" t="s">
        <v>315</v>
      </c>
    </row>
    <row r="33" spans="1:2">
      <c r="A33" s="28" t="s">
        <v>233</v>
      </c>
      <c r="B33" s="28" t="s">
        <v>316</v>
      </c>
    </row>
    <row r="34" spans="1:2">
      <c r="A34" s="28" t="s">
        <v>234</v>
      </c>
      <c r="B34" s="28" t="s">
        <v>317</v>
      </c>
    </row>
    <row r="35" spans="1:2">
      <c r="A35" s="28" t="s">
        <v>235</v>
      </c>
      <c r="B35" s="28" t="s">
        <v>318</v>
      </c>
    </row>
    <row r="36" spans="1:2">
      <c r="A36" s="28" t="s">
        <v>236</v>
      </c>
      <c r="B36" s="28" t="s">
        <v>319</v>
      </c>
    </row>
    <row r="37" spans="1:2">
      <c r="A37" s="28" t="s">
        <v>237</v>
      </c>
      <c r="B37" s="28" t="s">
        <v>320</v>
      </c>
    </row>
    <row r="38" spans="1:2">
      <c r="A38" s="28" t="s">
        <v>238</v>
      </c>
      <c r="B38" s="28" t="s">
        <v>321</v>
      </c>
    </row>
    <row r="39" spans="1:2">
      <c r="A39" s="28" t="s">
        <v>239</v>
      </c>
      <c r="B39" s="28" t="s">
        <v>322</v>
      </c>
    </row>
    <row r="40" spans="1:2">
      <c r="A40" s="28" t="s">
        <v>240</v>
      </c>
      <c r="B40" s="28" t="s">
        <v>323</v>
      </c>
    </row>
    <row r="41" spans="1:2">
      <c r="A41" s="28" t="s">
        <v>241</v>
      </c>
      <c r="B41" s="28" t="s">
        <v>324</v>
      </c>
    </row>
    <row r="42" spans="1:2">
      <c r="A42" s="28" t="s">
        <v>325</v>
      </c>
      <c r="B42" s="28" t="s">
        <v>326</v>
      </c>
    </row>
    <row r="43" spans="1:2">
      <c r="A43" s="28" t="s">
        <v>242</v>
      </c>
      <c r="B43" s="28" t="s">
        <v>327</v>
      </c>
    </row>
    <row r="44" spans="1:2">
      <c r="A44" s="28" t="s">
        <v>243</v>
      </c>
      <c r="B44" s="28" t="s">
        <v>328</v>
      </c>
    </row>
    <row r="45" spans="1:2">
      <c r="A45" s="28" t="s">
        <v>244</v>
      </c>
      <c r="B45" s="28" t="s">
        <v>329</v>
      </c>
    </row>
    <row r="46" spans="1:2">
      <c r="A46" s="28" t="s">
        <v>245</v>
      </c>
      <c r="B46" s="28" t="s">
        <v>330</v>
      </c>
    </row>
    <row r="47" spans="1:2">
      <c r="A47" s="28" t="s">
        <v>246</v>
      </c>
      <c r="B47" s="28" t="s">
        <v>331</v>
      </c>
    </row>
    <row r="48" spans="1:2">
      <c r="A48" s="28" t="s">
        <v>247</v>
      </c>
      <c r="B48" s="28" t="s">
        <v>332</v>
      </c>
    </row>
    <row r="49" spans="1:2">
      <c r="A49" s="28" t="s">
        <v>248</v>
      </c>
      <c r="B49" s="28" t="s">
        <v>333</v>
      </c>
    </row>
    <row r="50" spans="1:2">
      <c r="A50" s="28" t="s">
        <v>249</v>
      </c>
      <c r="B50" s="28" t="s">
        <v>334</v>
      </c>
    </row>
    <row r="51" spans="1:2">
      <c r="A51" s="28" t="s">
        <v>335</v>
      </c>
      <c r="B51" s="28" t="s">
        <v>336</v>
      </c>
    </row>
    <row r="52" spans="1:2">
      <c r="A52" s="28" t="s">
        <v>532</v>
      </c>
      <c r="B52" s="28" t="s">
        <v>337</v>
      </c>
    </row>
    <row r="53" spans="1:2">
      <c r="A53" s="28" t="s">
        <v>338</v>
      </c>
      <c r="B53" s="28" t="s">
        <v>339</v>
      </c>
    </row>
    <row r="54" spans="1:2">
      <c r="A54" s="28" t="s">
        <v>340</v>
      </c>
      <c r="B54" s="28" t="s">
        <v>341</v>
      </c>
    </row>
    <row r="55" spans="1:2">
      <c r="A55" s="28" t="s">
        <v>342</v>
      </c>
      <c r="B55" s="28" t="s">
        <v>343</v>
      </c>
    </row>
    <row r="56" spans="1:2">
      <c r="A56" s="28" t="s">
        <v>250</v>
      </c>
      <c r="B56" s="28" t="s">
        <v>344</v>
      </c>
    </row>
    <row r="57" spans="1:2">
      <c r="A57" s="28" t="s">
        <v>251</v>
      </c>
      <c r="B57" s="28" t="s">
        <v>345</v>
      </c>
    </row>
    <row r="58" spans="1:2">
      <c r="A58" s="28" t="s">
        <v>252</v>
      </c>
      <c r="B58" s="28" t="s">
        <v>346</v>
      </c>
    </row>
    <row r="59" spans="1:2">
      <c r="A59" s="28" t="s">
        <v>253</v>
      </c>
      <c r="B59" s="28" t="s">
        <v>347</v>
      </c>
    </row>
    <row r="60" spans="1:2">
      <c r="A60" s="28" t="s">
        <v>477</v>
      </c>
      <c r="B60" s="28" t="s">
        <v>348</v>
      </c>
    </row>
    <row r="61" spans="1:2">
      <c r="A61" s="28" t="s">
        <v>476</v>
      </c>
      <c r="B61" s="28" t="s">
        <v>349</v>
      </c>
    </row>
    <row r="62" spans="1:2">
      <c r="A62" s="28" t="s">
        <v>350</v>
      </c>
      <c r="B62" s="28" t="s">
        <v>351</v>
      </c>
    </row>
    <row r="63" spans="1:2">
      <c r="A63" s="28" t="s">
        <v>254</v>
      </c>
      <c r="B63" s="28" t="s">
        <v>352</v>
      </c>
    </row>
    <row r="64" spans="1:2">
      <c r="A64" s="28" t="s">
        <v>260</v>
      </c>
      <c r="B64" s="28" t="s">
        <v>353</v>
      </c>
    </row>
    <row r="65" spans="1:2">
      <c r="A65" s="28" t="s">
        <v>480</v>
      </c>
      <c r="B65" s="28" t="s">
        <v>354</v>
      </c>
    </row>
    <row r="66" spans="1:2">
      <c r="A66" s="28" t="s">
        <v>481</v>
      </c>
      <c r="B66" s="28" t="s">
        <v>566</v>
      </c>
    </row>
    <row r="67" spans="1:2">
      <c r="A67" s="28" t="s">
        <v>533</v>
      </c>
      <c r="B67" s="28" t="s">
        <v>355</v>
      </c>
    </row>
    <row r="68" spans="1:2">
      <c r="A68" s="28" t="s">
        <v>534</v>
      </c>
      <c r="B68" s="28" t="s">
        <v>356</v>
      </c>
    </row>
    <row r="69" spans="1:2">
      <c r="A69" s="28" t="s">
        <v>357</v>
      </c>
      <c r="B69" s="28" t="s">
        <v>358</v>
      </c>
    </row>
    <row r="70" spans="1:2">
      <c r="A70" s="28" t="s">
        <v>363</v>
      </c>
      <c r="B70" s="28" t="s">
        <v>567</v>
      </c>
    </row>
    <row r="71" spans="1:2">
      <c r="A71" s="28" t="s">
        <v>364</v>
      </c>
      <c r="B71" s="28" t="s">
        <v>365</v>
      </c>
    </row>
    <row r="72" spans="1:2">
      <c r="A72" s="28" t="s">
        <v>262</v>
      </c>
      <c r="B72" s="28" t="s">
        <v>360</v>
      </c>
    </row>
    <row r="73" spans="1:2">
      <c r="A73" s="28" t="s">
        <v>266</v>
      </c>
      <c r="B73" s="28" t="s">
        <v>568</v>
      </c>
    </row>
    <row r="74" spans="1:2">
      <c r="A74" s="28" t="s">
        <v>264</v>
      </c>
      <c r="B74" s="28" t="s">
        <v>361</v>
      </c>
    </row>
    <row r="75" spans="1:2">
      <c r="A75" s="28" t="s">
        <v>11</v>
      </c>
      <c r="B75" s="28" t="s">
        <v>362</v>
      </c>
    </row>
    <row r="76" spans="1:2">
      <c r="A76" s="28" t="s">
        <v>359</v>
      </c>
      <c r="B76" s="28" t="s">
        <v>569</v>
      </c>
    </row>
    <row r="77" spans="1:2">
      <c r="A77" s="28" t="s">
        <v>270</v>
      </c>
      <c r="B77" s="28" t="s">
        <v>367</v>
      </c>
    </row>
    <row r="78" spans="1:2">
      <c r="A78" s="28" t="s">
        <v>9</v>
      </c>
      <c r="B78" s="28" t="s">
        <v>368</v>
      </c>
    </row>
    <row r="79" spans="1:2">
      <c r="A79" s="28" t="s">
        <v>10</v>
      </c>
      <c r="B79" s="28" t="s">
        <v>369</v>
      </c>
    </row>
    <row r="80" spans="1:2">
      <c r="A80" s="28" t="s">
        <v>195</v>
      </c>
      <c r="B80" s="28" t="s">
        <v>370</v>
      </c>
    </row>
    <row r="81" spans="1:2">
      <c r="A81" s="28" t="s">
        <v>371</v>
      </c>
      <c r="B81" s="28" t="s">
        <v>570</v>
      </c>
    </row>
    <row r="82" spans="1:2">
      <c r="A82" s="28" t="s">
        <v>271</v>
      </c>
      <c r="B82" s="28" t="s">
        <v>571</v>
      </c>
    </row>
    <row r="83" spans="1:2">
      <c r="A83" s="28" t="s">
        <v>372</v>
      </c>
      <c r="B83" s="28" t="s">
        <v>387</v>
      </c>
    </row>
    <row r="84" spans="1:2">
      <c r="A84" s="28" t="s">
        <v>701</v>
      </c>
      <c r="B84" s="28" t="s">
        <v>373</v>
      </c>
    </row>
    <row r="85" spans="1:2">
      <c r="A85" s="28" t="s">
        <v>535</v>
      </c>
      <c r="B85" s="28" t="s">
        <v>572</v>
      </c>
    </row>
    <row r="86" spans="1:2">
      <c r="A86" s="28" t="s">
        <v>8</v>
      </c>
      <c r="B86" s="28" t="s">
        <v>374</v>
      </c>
    </row>
    <row r="87" spans="1:2">
      <c r="A87" s="28" t="s">
        <v>276</v>
      </c>
      <c r="B87" s="28" t="s">
        <v>375</v>
      </c>
    </row>
    <row r="88" spans="1:2">
      <c r="A88" s="28" t="s">
        <v>536</v>
      </c>
      <c r="B88" s="28" t="s">
        <v>573</v>
      </c>
    </row>
    <row r="89" spans="1:2">
      <c r="A89" s="28" t="s">
        <v>537</v>
      </c>
      <c r="B89" s="28" t="s">
        <v>574</v>
      </c>
    </row>
    <row r="90" spans="1:2">
      <c r="A90" s="28" t="s">
        <v>538</v>
      </c>
      <c r="B90" s="28" t="s">
        <v>378</v>
      </c>
    </row>
    <row r="91" spans="1:2">
      <c r="A91" s="28" t="s">
        <v>539</v>
      </c>
      <c r="B91" s="28" t="s">
        <v>379</v>
      </c>
    </row>
    <row r="92" spans="1:2">
      <c r="A92" s="28" t="s">
        <v>540</v>
      </c>
      <c r="B92" s="28" t="s">
        <v>380</v>
      </c>
    </row>
    <row r="93" spans="1:2">
      <c r="A93" s="28" t="s">
        <v>274</v>
      </c>
      <c r="B93" s="28" t="s">
        <v>381</v>
      </c>
    </row>
    <row r="94" spans="1:2">
      <c r="A94" s="28" t="s">
        <v>277</v>
      </c>
      <c r="B94" s="28" t="s">
        <v>382</v>
      </c>
    </row>
    <row r="95" spans="1:2">
      <c r="A95" s="28" t="s">
        <v>478</v>
      </c>
      <c r="B95" s="28" t="s">
        <v>575</v>
      </c>
    </row>
    <row r="96" spans="1:2">
      <c r="A96" s="28" t="s">
        <v>376</v>
      </c>
      <c r="B96" s="28" t="s">
        <v>377</v>
      </c>
    </row>
    <row r="97" spans="1:2">
      <c r="A97" s="28" t="s">
        <v>541</v>
      </c>
      <c r="B97" s="28" t="s">
        <v>383</v>
      </c>
    </row>
    <row r="98" spans="1:2">
      <c r="A98" s="28" t="s">
        <v>542</v>
      </c>
      <c r="B98" s="28" t="s">
        <v>384</v>
      </c>
    </row>
    <row r="99" spans="1:2">
      <c r="A99" s="28" t="s">
        <v>275</v>
      </c>
      <c r="B99" s="28" t="s">
        <v>385</v>
      </c>
    </row>
    <row r="100" spans="1:2">
      <c r="A100" s="28" t="s">
        <v>201</v>
      </c>
      <c r="B100" s="28" t="s">
        <v>386</v>
      </c>
    </row>
    <row r="101" spans="1:2">
      <c r="A101" s="28" t="s">
        <v>543</v>
      </c>
      <c r="B101" s="28" t="s">
        <v>576</v>
      </c>
    </row>
    <row r="102" spans="1:2">
      <c r="A102" s="28" t="s">
        <v>544</v>
      </c>
      <c r="B102" s="28" t="s">
        <v>388</v>
      </c>
    </row>
    <row r="103" spans="1:2">
      <c r="A103" s="28" t="s">
        <v>545</v>
      </c>
      <c r="B103" s="28" t="s">
        <v>577</v>
      </c>
    </row>
    <row r="104" spans="1:2">
      <c r="A104" s="28" t="s">
        <v>278</v>
      </c>
      <c r="B104" s="28" t="s">
        <v>389</v>
      </c>
    </row>
    <row r="105" spans="1:2">
      <c r="A105" s="28" t="s">
        <v>279</v>
      </c>
      <c r="B105" s="28" t="s">
        <v>390</v>
      </c>
    </row>
    <row r="106" spans="1:2">
      <c r="A106" s="28" t="s">
        <v>41</v>
      </c>
      <c r="B106" s="28" t="s">
        <v>391</v>
      </c>
    </row>
    <row r="107" spans="1:2">
      <c r="A107" s="28" t="s">
        <v>546</v>
      </c>
      <c r="B107" s="28" t="s">
        <v>578</v>
      </c>
    </row>
    <row r="108" spans="1:2">
      <c r="A108" s="28" t="s">
        <v>547</v>
      </c>
      <c r="B108" s="28" t="s">
        <v>392</v>
      </c>
    </row>
    <row r="109" spans="1:2">
      <c r="A109" s="28" t="s">
        <v>548</v>
      </c>
      <c r="B109" s="28" t="s">
        <v>393</v>
      </c>
    </row>
    <row r="110" spans="1:2">
      <c r="A110" s="28" t="s">
        <v>549</v>
      </c>
      <c r="B110" s="28" t="s">
        <v>394</v>
      </c>
    </row>
    <row r="111" spans="1:2">
      <c r="A111" s="28" t="s">
        <v>281</v>
      </c>
      <c r="B111" s="28" t="s">
        <v>395</v>
      </c>
    </row>
    <row r="112" spans="1:2">
      <c r="A112" s="28" t="s">
        <v>280</v>
      </c>
      <c r="B112" s="28" t="s">
        <v>579</v>
      </c>
    </row>
    <row r="113" spans="1:2">
      <c r="A113" s="28" t="s">
        <v>282</v>
      </c>
      <c r="B113" s="28" t="s">
        <v>580</v>
      </c>
    </row>
    <row r="114" spans="1:2">
      <c r="A114" s="28" t="s">
        <v>397</v>
      </c>
      <c r="B114" s="28" t="s">
        <v>398</v>
      </c>
    </row>
    <row r="115" spans="1:2">
      <c r="A115" s="28" t="s">
        <v>550</v>
      </c>
      <c r="B115" s="28" t="s">
        <v>399</v>
      </c>
    </row>
    <row r="116" spans="1:2">
      <c r="A116" s="28" t="s">
        <v>258</v>
      </c>
      <c r="B116" s="28" t="s">
        <v>400</v>
      </c>
    </row>
    <row r="117" spans="1:2">
      <c r="A117" s="28" t="s">
        <v>1</v>
      </c>
      <c r="B117" s="28" t="s">
        <v>581</v>
      </c>
    </row>
    <row r="118" spans="1:2">
      <c r="A118" s="28" t="s">
        <v>2</v>
      </c>
      <c r="B118" s="28" t="s">
        <v>401</v>
      </c>
    </row>
    <row r="119" spans="1:2">
      <c r="A119" s="28" t="s">
        <v>396</v>
      </c>
      <c r="B119" s="28" t="s">
        <v>411</v>
      </c>
    </row>
    <row r="120" spans="1:2">
      <c r="A120" s="28" t="s">
        <v>273</v>
      </c>
      <c r="B120" s="28" t="s">
        <v>402</v>
      </c>
    </row>
    <row r="121" spans="1:2">
      <c r="A121" s="28" t="s">
        <v>255</v>
      </c>
      <c r="B121" s="28" t="s">
        <v>403</v>
      </c>
    </row>
    <row r="122" spans="1:2">
      <c r="A122" s="28" t="s">
        <v>256</v>
      </c>
      <c r="B122" s="28" t="s">
        <v>404</v>
      </c>
    </row>
    <row r="123" spans="1:2">
      <c r="A123" s="28" t="s">
        <v>257</v>
      </c>
      <c r="B123" s="28" t="s">
        <v>582</v>
      </c>
    </row>
    <row r="124" spans="1:2">
      <c r="A124" s="28" t="s">
        <v>283</v>
      </c>
      <c r="B124" s="28" t="s">
        <v>405</v>
      </c>
    </row>
    <row r="125" spans="1:2">
      <c r="A125" s="28" t="s">
        <v>272</v>
      </c>
      <c r="B125" s="28" t="s">
        <v>406</v>
      </c>
    </row>
    <row r="126" spans="1:2">
      <c r="A126" s="28" t="s">
        <v>407</v>
      </c>
      <c r="B126" s="28" t="s">
        <v>408</v>
      </c>
    </row>
    <row r="127" spans="1:2">
      <c r="A127" s="28" t="s">
        <v>419</v>
      </c>
      <c r="B127" s="28" t="s">
        <v>583</v>
      </c>
    </row>
    <row r="128" spans="1:2">
      <c r="A128" s="28" t="s">
        <v>551</v>
      </c>
      <c r="B128" s="28" t="s">
        <v>409</v>
      </c>
    </row>
    <row r="129" spans="1:2">
      <c r="A129" s="28" t="s">
        <v>425</v>
      </c>
      <c r="B129" s="28" t="s">
        <v>428</v>
      </c>
    </row>
    <row r="130" spans="1:2">
      <c r="A130" s="28" t="s">
        <v>410</v>
      </c>
      <c r="B130" s="28" t="s">
        <v>413</v>
      </c>
    </row>
    <row r="131" spans="1:2">
      <c r="A131" s="28" t="s">
        <v>13</v>
      </c>
      <c r="B131" s="28" t="s">
        <v>415</v>
      </c>
    </row>
    <row r="132" spans="1:2">
      <c r="A132" s="28" t="s">
        <v>18</v>
      </c>
      <c r="B132" s="28" t="s">
        <v>584</v>
      </c>
    </row>
    <row r="133" spans="1:2">
      <c r="A133" s="28" t="s">
        <v>435</v>
      </c>
      <c r="B133" s="28" t="s">
        <v>416</v>
      </c>
    </row>
    <row r="134" spans="1:2">
      <c r="A134" s="28" t="s">
        <v>453</v>
      </c>
      <c r="B134" s="28" t="s">
        <v>417</v>
      </c>
    </row>
    <row r="135" spans="1:2">
      <c r="A135" s="28" t="s">
        <v>455</v>
      </c>
      <c r="B135" s="28" t="s">
        <v>418</v>
      </c>
    </row>
    <row r="136" spans="1:2">
      <c r="A136" s="28" t="s">
        <v>552</v>
      </c>
      <c r="B136" s="28" t="s">
        <v>421</v>
      </c>
    </row>
    <row r="137" spans="1:2">
      <c r="A137" s="28" t="s">
        <v>553</v>
      </c>
      <c r="B137" s="28" t="s">
        <v>422</v>
      </c>
    </row>
    <row r="138" spans="1:2">
      <c r="A138" s="28" t="s">
        <v>423</v>
      </c>
      <c r="B138" s="28" t="s">
        <v>424</v>
      </c>
    </row>
    <row r="139" spans="1:2">
      <c r="A139" s="28" t="s">
        <v>446</v>
      </c>
      <c r="B139" s="28" t="s">
        <v>426</v>
      </c>
    </row>
    <row r="140" spans="1:2">
      <c r="A140" s="28" t="s">
        <v>431</v>
      </c>
      <c r="B140" s="28" t="s">
        <v>430</v>
      </c>
    </row>
    <row r="141" spans="1:2">
      <c r="A141" s="28" t="s">
        <v>412</v>
      </c>
      <c r="B141" s="28" t="s">
        <v>432</v>
      </c>
    </row>
    <row r="142" spans="1:2">
      <c r="A142" s="28" t="s">
        <v>433</v>
      </c>
      <c r="B142" s="28" t="s">
        <v>434</v>
      </c>
    </row>
    <row r="143" spans="1:2">
      <c r="A143" s="28" t="s">
        <v>12</v>
      </c>
      <c r="B143" s="28" t="s">
        <v>436</v>
      </c>
    </row>
    <row r="144" spans="1:2">
      <c r="A144" s="28" t="s">
        <v>16</v>
      </c>
      <c r="B144" s="28" t="s">
        <v>438</v>
      </c>
    </row>
    <row r="145" spans="1:2">
      <c r="A145" s="28" t="s">
        <v>19</v>
      </c>
      <c r="B145" s="28" t="s">
        <v>439</v>
      </c>
    </row>
    <row r="146" spans="1:2">
      <c r="A146" s="28" t="s">
        <v>437</v>
      </c>
      <c r="B146" s="28" t="s">
        <v>440</v>
      </c>
    </row>
    <row r="147" spans="1:2">
      <c r="A147" s="28" t="s">
        <v>468</v>
      </c>
      <c r="B147" s="28" t="s">
        <v>441</v>
      </c>
    </row>
    <row r="148" spans="1:2">
      <c r="A148" s="28" t="s">
        <v>467</v>
      </c>
      <c r="B148" s="28" t="s">
        <v>442</v>
      </c>
    </row>
    <row r="149" spans="1:2">
      <c r="A149" s="28" t="s">
        <v>414</v>
      </c>
      <c r="B149" s="28" t="s">
        <v>443</v>
      </c>
    </row>
    <row r="150" spans="1:2">
      <c r="A150" s="28" t="s">
        <v>554</v>
      </c>
      <c r="B150" s="28" t="s">
        <v>444</v>
      </c>
    </row>
    <row r="151" spans="1:2">
      <c r="A151" s="28" t="s">
        <v>555</v>
      </c>
      <c r="B151" s="28" t="s">
        <v>445</v>
      </c>
    </row>
    <row r="152" spans="1:2">
      <c r="A152" s="28" t="s">
        <v>556</v>
      </c>
      <c r="B152" s="28" t="s">
        <v>447</v>
      </c>
    </row>
    <row r="153" spans="1:2">
      <c r="A153" s="28" t="s">
        <v>45</v>
      </c>
      <c r="B153" s="28" t="s">
        <v>448</v>
      </c>
    </row>
    <row r="154" spans="1:2">
      <c r="A154" s="28" t="s">
        <v>47</v>
      </c>
      <c r="B154" s="28" t="s">
        <v>449</v>
      </c>
    </row>
    <row r="155" spans="1:2">
      <c r="A155" s="28" t="s">
        <v>427</v>
      </c>
      <c r="B155" s="28" t="s">
        <v>585</v>
      </c>
    </row>
    <row r="156" spans="1:2">
      <c r="A156" s="28" t="s">
        <v>450</v>
      </c>
      <c r="B156" s="28" t="s">
        <v>452</v>
      </c>
    </row>
    <row r="157" spans="1:2">
      <c r="A157" s="28" t="s">
        <v>15</v>
      </c>
      <c r="B157" s="28" t="s">
        <v>454</v>
      </c>
    </row>
    <row r="158" spans="1:2">
      <c r="A158" s="28" t="s">
        <v>17</v>
      </c>
      <c r="B158" s="28" t="s">
        <v>456</v>
      </c>
    </row>
    <row r="159" spans="1:2">
      <c r="A159" s="28" t="s">
        <v>366</v>
      </c>
      <c r="B159" s="28" t="s">
        <v>457</v>
      </c>
    </row>
    <row r="160" spans="1:2">
      <c r="A160" s="28" t="s">
        <v>268</v>
      </c>
      <c r="B160" s="28" t="s">
        <v>458</v>
      </c>
    </row>
    <row r="161" spans="1:2">
      <c r="A161" s="28" t="s">
        <v>265</v>
      </c>
      <c r="B161" s="28" t="s">
        <v>459</v>
      </c>
    </row>
    <row r="162" spans="1:2">
      <c r="A162" s="28" t="s">
        <v>263</v>
      </c>
      <c r="B162" s="28" t="s">
        <v>460</v>
      </c>
    </row>
    <row r="163" spans="1:2">
      <c r="A163" s="28" t="s">
        <v>557</v>
      </c>
      <c r="B163" s="28" t="s">
        <v>586</v>
      </c>
    </row>
    <row r="164" spans="1:2">
      <c r="A164" s="28" t="s">
        <v>558</v>
      </c>
      <c r="B164" s="28" t="s">
        <v>461</v>
      </c>
    </row>
    <row r="165" spans="1:2">
      <c r="A165" s="28" t="s">
        <v>559</v>
      </c>
      <c r="B165" s="28" t="s">
        <v>462</v>
      </c>
    </row>
    <row r="166" spans="1:2">
      <c r="A166" s="28" t="s">
        <v>46</v>
      </c>
      <c r="B166" s="28" t="s">
        <v>463</v>
      </c>
    </row>
    <row r="167" spans="1:2">
      <c r="A167" s="28" t="s">
        <v>48</v>
      </c>
      <c r="B167" s="28" t="s">
        <v>464</v>
      </c>
    </row>
    <row r="168" spans="1:2">
      <c r="A168" s="28" t="s">
        <v>429</v>
      </c>
      <c r="B168" s="28" t="s">
        <v>587</v>
      </c>
    </row>
    <row r="169" spans="1:2">
      <c r="A169" s="28" t="s">
        <v>451</v>
      </c>
      <c r="B169" s="28" t="s">
        <v>466</v>
      </c>
    </row>
    <row r="170" spans="1:2">
      <c r="A170" s="28" t="s">
        <v>465</v>
      </c>
      <c r="B170" s="28" t="s">
        <v>588</v>
      </c>
    </row>
    <row r="171" spans="1:2">
      <c r="A171" s="28" t="s">
        <v>560</v>
      </c>
      <c r="B171" s="28" t="s">
        <v>469</v>
      </c>
    </row>
    <row r="172" spans="1:2">
      <c r="A172" s="28" t="s">
        <v>14</v>
      </c>
      <c r="B172" s="28" t="s">
        <v>589</v>
      </c>
    </row>
    <row r="173" spans="1:2">
      <c r="A173" s="28" t="s">
        <v>64</v>
      </c>
      <c r="B173" s="28" t="s">
        <v>470</v>
      </c>
    </row>
    <row r="174" spans="1:2">
      <c r="A174" s="28" t="s">
        <v>269</v>
      </c>
      <c r="B174" s="28" t="s">
        <v>590</v>
      </c>
    </row>
    <row r="175" spans="1:2">
      <c r="A175" s="28" t="s">
        <v>267</v>
      </c>
      <c r="B175" s="28" t="s">
        <v>471</v>
      </c>
    </row>
    <row r="176" spans="1:2">
      <c r="A176" s="28" t="s">
        <v>261</v>
      </c>
      <c r="B176" s="28" t="s">
        <v>475</v>
      </c>
    </row>
    <row r="177" spans="1:2">
      <c r="A177" s="28" t="s">
        <v>259</v>
      </c>
      <c r="B177" s="28" t="s">
        <v>472</v>
      </c>
    </row>
    <row r="178" spans="1:2">
      <c r="A178" s="28" t="s">
        <v>561</v>
      </c>
      <c r="B178" s="28" t="s">
        <v>591</v>
      </c>
    </row>
    <row r="179" spans="1:2">
      <c r="A179" s="28" t="s">
        <v>562</v>
      </c>
      <c r="B179" s="28" t="s">
        <v>473</v>
      </c>
    </row>
    <row r="180" spans="1:2">
      <c r="A180" s="28" t="s">
        <v>563</v>
      </c>
      <c r="B180" s="28" t="s">
        <v>474</v>
      </c>
    </row>
    <row r="182" spans="1:2">
      <c r="A182" s="28" t="s">
        <v>557</v>
      </c>
      <c r="B182" s="28">
        <v>1</v>
      </c>
    </row>
    <row r="183" spans="1:2">
      <c r="A183" s="28" t="s">
        <v>561</v>
      </c>
      <c r="B183" s="28">
        <v>2</v>
      </c>
    </row>
    <row r="184" spans="1:2">
      <c r="A184" s="28" t="s">
        <v>562</v>
      </c>
      <c r="B184" s="28">
        <v>3</v>
      </c>
    </row>
    <row r="185" spans="1:2">
      <c r="A185" s="28" t="s">
        <v>558</v>
      </c>
      <c r="B185" s="28">
        <v>4</v>
      </c>
    </row>
    <row r="186" spans="1:2">
      <c r="A186" s="28" t="s">
        <v>559</v>
      </c>
      <c r="B186" s="28">
        <v>5</v>
      </c>
    </row>
    <row r="187" spans="1:2">
      <c r="A187" s="28" t="s">
        <v>563</v>
      </c>
      <c r="B187" s="28">
        <v>6</v>
      </c>
    </row>
    <row r="188" spans="1:2">
      <c r="A188" s="28" t="s">
        <v>551</v>
      </c>
      <c r="B188" s="28">
        <v>7</v>
      </c>
    </row>
    <row r="189" spans="1:2">
      <c r="A189" s="28" t="s">
        <v>258</v>
      </c>
      <c r="B189" s="28">
        <v>8</v>
      </c>
    </row>
    <row r="190" spans="1:2">
      <c r="A190" s="28" t="s">
        <v>257</v>
      </c>
      <c r="B190" s="28">
        <v>9</v>
      </c>
    </row>
    <row r="191" spans="1:2">
      <c r="A191" s="28" t="s">
        <v>256</v>
      </c>
      <c r="B191" s="28">
        <v>10</v>
      </c>
    </row>
    <row r="192" spans="1:2">
      <c r="A192" s="28" t="s">
        <v>255</v>
      </c>
      <c r="B192" s="28">
        <v>11</v>
      </c>
    </row>
    <row r="193" spans="1:2">
      <c r="A193" s="28" t="s">
        <v>543</v>
      </c>
      <c r="B193" s="28">
        <v>12</v>
      </c>
    </row>
    <row r="194" spans="1:2">
      <c r="A194" s="28" t="s">
        <v>547</v>
      </c>
      <c r="B194" s="28">
        <v>13</v>
      </c>
    </row>
    <row r="195" spans="1:2">
      <c r="A195" s="28" t="s">
        <v>564</v>
      </c>
      <c r="B195" s="28">
        <v>14</v>
      </c>
    </row>
    <row r="196" spans="1:2">
      <c r="A196" s="28" t="s">
        <v>538</v>
      </c>
      <c r="B196" s="28">
        <v>15</v>
      </c>
    </row>
    <row r="197" spans="1:2">
      <c r="A197" s="28" t="s">
        <v>540</v>
      </c>
      <c r="B197" s="28">
        <v>16</v>
      </c>
    </row>
    <row r="198" spans="1:2">
      <c r="A198" s="28" t="s">
        <v>535</v>
      </c>
      <c r="B198" s="28">
        <v>17</v>
      </c>
    </row>
    <row r="199" spans="1:2">
      <c r="A199" s="28" t="s">
        <v>539</v>
      </c>
      <c r="B199" s="28">
        <v>18</v>
      </c>
    </row>
    <row r="200" spans="1:2">
      <c r="A200" s="28" t="s">
        <v>478</v>
      </c>
      <c r="B200" s="28">
        <v>40</v>
      </c>
    </row>
    <row r="201" spans="1:2">
      <c r="A201" s="28" t="s">
        <v>359</v>
      </c>
      <c r="B201" s="28">
        <v>20</v>
      </c>
    </row>
    <row r="202" spans="1:2">
      <c r="A202" s="28" t="s">
        <v>364</v>
      </c>
      <c r="B202" s="28">
        <v>78</v>
      </c>
    </row>
    <row r="203" spans="1:2">
      <c r="A203" s="28" t="s">
        <v>271</v>
      </c>
      <c r="B203" s="28">
        <v>22</v>
      </c>
    </row>
    <row r="204" spans="1:2">
      <c r="A204" s="28" t="s">
        <v>533</v>
      </c>
      <c r="B204" s="28">
        <v>45</v>
      </c>
    </row>
    <row r="205" spans="1:2">
      <c r="A205" s="28" t="s">
        <v>534</v>
      </c>
      <c r="B205" s="28">
        <v>46</v>
      </c>
    </row>
    <row r="206" spans="1:2">
      <c r="A206" s="28" t="s">
        <v>195</v>
      </c>
      <c r="B206" s="28">
        <v>47</v>
      </c>
    </row>
    <row r="207" spans="1:2">
      <c r="A207" s="28" t="s">
        <v>11</v>
      </c>
      <c r="B207" s="28">
        <v>48</v>
      </c>
    </row>
    <row r="208" spans="1:2">
      <c r="A208" s="28" t="s">
        <v>10</v>
      </c>
      <c r="B208" s="28">
        <v>49</v>
      </c>
    </row>
    <row r="209" spans="1:2">
      <c r="A209" s="28" t="s">
        <v>9</v>
      </c>
      <c r="B209" s="28">
        <v>50</v>
      </c>
    </row>
    <row r="210" spans="1:2">
      <c r="A210" s="28" t="s">
        <v>8</v>
      </c>
      <c r="B210" s="28">
        <v>51</v>
      </c>
    </row>
    <row r="211" spans="1:2">
      <c r="A211" s="28" t="s">
        <v>274</v>
      </c>
      <c r="B211" s="28">
        <v>54</v>
      </c>
    </row>
    <row r="212" spans="1:2">
      <c r="A212" s="28" t="s">
        <v>275</v>
      </c>
      <c r="B212" s="28">
        <v>55</v>
      </c>
    </row>
    <row r="213" spans="1:2">
      <c r="A213" s="28" t="s">
        <v>276</v>
      </c>
      <c r="B213" s="28">
        <v>56</v>
      </c>
    </row>
    <row r="214" spans="1:2">
      <c r="A214" s="28" t="s">
        <v>277</v>
      </c>
      <c r="B214" s="28">
        <v>57</v>
      </c>
    </row>
    <row r="215" spans="1:2">
      <c r="A215" s="28" t="s">
        <v>278</v>
      </c>
      <c r="B215" s="28">
        <v>58</v>
      </c>
    </row>
    <row r="216" spans="1:2">
      <c r="A216" s="28" t="s">
        <v>279</v>
      </c>
      <c r="B216" s="28">
        <v>59</v>
      </c>
    </row>
    <row r="217" spans="1:2">
      <c r="A217" s="28" t="s">
        <v>280</v>
      </c>
      <c r="B217" s="28">
        <v>60</v>
      </c>
    </row>
    <row r="218" spans="1:2">
      <c r="A218" s="28" t="s">
        <v>594</v>
      </c>
      <c r="B218" s="28">
        <v>61</v>
      </c>
    </row>
    <row r="219" spans="1:2">
      <c r="A219" s="28" t="s">
        <v>281</v>
      </c>
      <c r="B219" s="28">
        <v>62</v>
      </c>
    </row>
    <row r="220" spans="1:2">
      <c r="A220" s="28" t="s">
        <v>282</v>
      </c>
      <c r="B220" s="28">
        <v>63</v>
      </c>
    </row>
    <row r="221" spans="1:2">
      <c r="A221" s="28" t="s">
        <v>2</v>
      </c>
      <c r="B221" s="28">
        <v>64</v>
      </c>
    </row>
    <row r="222" spans="1:2">
      <c r="A222" s="28" t="s">
        <v>1</v>
      </c>
      <c r="B222" s="28">
        <v>65</v>
      </c>
    </row>
    <row r="223" spans="1:2">
      <c r="A223" s="28" t="s">
        <v>283</v>
      </c>
      <c r="B223" s="28">
        <v>66</v>
      </c>
    </row>
    <row r="224" spans="1:2">
      <c r="A224" s="28" t="s">
        <v>45</v>
      </c>
      <c r="B224" s="28">
        <v>67</v>
      </c>
    </row>
    <row r="225" spans="1:2">
      <c r="A225" s="28" t="s">
        <v>46</v>
      </c>
      <c r="B225" s="28">
        <v>68</v>
      </c>
    </row>
    <row r="226" spans="1:2">
      <c r="A226" s="28" t="s">
        <v>47</v>
      </c>
      <c r="B226" s="28">
        <v>69</v>
      </c>
    </row>
    <row r="227" spans="1:2">
      <c r="A227" s="28" t="s">
        <v>48</v>
      </c>
      <c r="B227" s="28">
        <v>70</v>
      </c>
    </row>
    <row r="228" spans="1:2">
      <c r="A228" s="28" t="s">
        <v>272</v>
      </c>
      <c r="B228" s="28">
        <v>71</v>
      </c>
    </row>
    <row r="229" spans="1:2">
      <c r="A229" s="28" t="s">
        <v>556</v>
      </c>
      <c r="B229" s="28">
        <v>72</v>
      </c>
    </row>
    <row r="230" spans="1:2">
      <c r="A230" s="28" t="s">
        <v>412</v>
      </c>
      <c r="B230" s="28">
        <v>73</v>
      </c>
    </row>
    <row r="231" spans="1:2">
      <c r="A231" s="28" t="s">
        <v>429</v>
      </c>
      <c r="B231" s="28">
        <v>75</v>
      </c>
    </row>
    <row r="232" spans="1:2">
      <c r="A232" s="28" t="s">
        <v>427</v>
      </c>
      <c r="B232" s="28">
        <v>76</v>
      </c>
    </row>
    <row r="233" spans="1:2">
      <c r="A233" s="28" t="s">
        <v>431</v>
      </c>
      <c r="B233" s="28">
        <v>77</v>
      </c>
    </row>
    <row r="234" spans="1:2">
      <c r="A234" s="28" t="s">
        <v>366</v>
      </c>
      <c r="B234" s="28">
        <v>80</v>
      </c>
    </row>
    <row r="235" spans="1:2">
      <c r="A235" s="28" t="s">
        <v>64</v>
      </c>
      <c r="B235" s="28">
        <v>81</v>
      </c>
    </row>
    <row r="236" spans="1:2">
      <c r="A236" s="28" t="s">
        <v>269</v>
      </c>
      <c r="B236" s="28">
        <v>82</v>
      </c>
    </row>
    <row r="237" spans="1:2">
      <c r="A237" s="28" t="s">
        <v>268</v>
      </c>
      <c r="B237" s="28">
        <v>83</v>
      </c>
    </row>
    <row r="238" spans="1:2">
      <c r="A238" s="28" t="s">
        <v>267</v>
      </c>
      <c r="B238" s="28">
        <v>84</v>
      </c>
    </row>
    <row r="239" spans="1:2">
      <c r="A239" s="28" t="s">
        <v>265</v>
      </c>
      <c r="B239" s="28">
        <v>85</v>
      </c>
    </row>
    <row r="240" spans="1:2">
      <c r="A240" s="28" t="s">
        <v>263</v>
      </c>
      <c r="B240" s="28">
        <v>86</v>
      </c>
    </row>
    <row r="241" spans="1:2">
      <c r="A241" s="28" t="s">
        <v>261</v>
      </c>
      <c r="B241" s="28">
        <v>87</v>
      </c>
    </row>
    <row r="242" spans="1:2">
      <c r="A242" s="28" t="s">
        <v>259</v>
      </c>
      <c r="B242" s="28">
        <v>88</v>
      </c>
    </row>
    <row r="243" spans="1:2">
      <c r="A243" s="28" t="s">
        <v>270</v>
      </c>
      <c r="B243" s="28">
        <v>23</v>
      </c>
    </row>
    <row r="244" spans="1:2">
      <c r="A244" s="28" t="s">
        <v>260</v>
      </c>
      <c r="B244" s="28">
        <v>24</v>
      </c>
    </row>
    <row r="245" spans="1:2">
      <c r="A245" s="28" t="s">
        <v>262</v>
      </c>
      <c r="B245" s="28">
        <v>25</v>
      </c>
    </row>
    <row r="246" spans="1:2">
      <c r="A246" s="28" t="s">
        <v>264</v>
      </c>
      <c r="B246" s="28">
        <v>26</v>
      </c>
    </row>
    <row r="247" spans="1:2">
      <c r="A247" s="28" t="s">
        <v>266</v>
      </c>
      <c r="B247" s="28">
        <v>27</v>
      </c>
    </row>
    <row r="248" spans="1:2">
      <c r="A248" s="28" t="s">
        <v>481</v>
      </c>
      <c r="B248" s="28">
        <v>28</v>
      </c>
    </row>
    <row r="249" spans="1:2">
      <c r="A249" s="28" t="s">
        <v>480</v>
      </c>
      <c r="B249" s="28">
        <v>29</v>
      </c>
    </row>
    <row r="250" spans="1:2">
      <c r="A250" s="28" t="s">
        <v>476</v>
      </c>
      <c r="B250" s="28">
        <v>30</v>
      </c>
    </row>
    <row r="251" spans="1:2">
      <c r="A251" s="28" t="s">
        <v>477</v>
      </c>
      <c r="B251" s="28">
        <v>31</v>
      </c>
    </row>
    <row r="252" spans="1:2">
      <c r="A252" s="28" t="s">
        <v>254</v>
      </c>
      <c r="B252" s="28">
        <v>36</v>
      </c>
    </row>
    <row r="253" spans="1:2">
      <c r="A253" s="28" t="s">
        <v>229</v>
      </c>
      <c r="B253" s="28">
        <v>34</v>
      </c>
    </row>
    <row r="254" spans="1:2">
      <c r="A254" s="28" t="s">
        <v>295</v>
      </c>
      <c r="B254" s="28">
        <v>35</v>
      </c>
    </row>
    <row r="255" spans="1:2">
      <c r="A255" s="28" t="s">
        <v>338</v>
      </c>
      <c r="B255" s="28">
        <v>37</v>
      </c>
    </row>
    <row r="256" spans="1:2">
      <c r="A256" s="28" t="s">
        <v>340</v>
      </c>
      <c r="B256" s="28">
        <v>38</v>
      </c>
    </row>
    <row r="257" spans="1:2">
      <c r="A257" s="28" t="s">
        <v>350</v>
      </c>
      <c r="B257" s="28">
        <v>39</v>
      </c>
    </row>
    <row r="258" spans="1:2">
      <c r="A258" s="28" t="s">
        <v>335</v>
      </c>
      <c r="B258" s="28">
        <v>41</v>
      </c>
    </row>
    <row r="259" spans="1:2">
      <c r="A259" s="28" t="s">
        <v>532</v>
      </c>
      <c r="B259" s="28">
        <v>42</v>
      </c>
    </row>
    <row r="260" spans="1:2">
      <c r="A260" s="28" t="s">
        <v>325</v>
      </c>
      <c r="B260" s="28">
        <v>43</v>
      </c>
    </row>
    <row r="261" spans="1:2">
      <c r="A261" s="28" t="s">
        <v>479</v>
      </c>
      <c r="B261" s="28">
        <v>44</v>
      </c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1"/>
  <sheetViews>
    <sheetView topLeftCell="A19" zoomScale="85" zoomScaleNormal="85" workbookViewId="0">
      <selection activeCell="D53" sqref="D53"/>
    </sheetView>
  </sheetViews>
  <sheetFormatPr defaultRowHeight="15"/>
  <cols>
    <col min="1" max="1" width="9" style="121"/>
    <col min="2" max="2" width="16.75" style="129" customWidth="1"/>
    <col min="3" max="3" width="21.625" style="121" bestFit="1" customWidth="1"/>
    <col min="4" max="4" width="87.75" style="121" bestFit="1" customWidth="1"/>
    <col min="5" max="16384" width="9" style="121"/>
  </cols>
  <sheetData>
    <row r="1" spans="2:4" ht="15.75" thickBot="1"/>
    <row r="2" spans="2:4">
      <c r="B2" s="149" t="s">
        <v>607</v>
      </c>
      <c r="C2" s="150"/>
      <c r="D2" s="151"/>
    </row>
    <row r="3" spans="2:4">
      <c r="B3" s="122" t="s">
        <v>606</v>
      </c>
      <c r="C3" s="123" t="s">
        <v>605</v>
      </c>
      <c r="D3" s="124" t="s">
        <v>604</v>
      </c>
    </row>
    <row r="4" spans="2:4">
      <c r="B4" s="125">
        <v>1</v>
      </c>
      <c r="C4" s="130" t="s">
        <v>557</v>
      </c>
      <c r="D4" s="127" t="s">
        <v>912</v>
      </c>
    </row>
    <row r="5" spans="2:4">
      <c r="B5" s="125">
        <v>2</v>
      </c>
      <c r="C5" s="130" t="s">
        <v>561</v>
      </c>
      <c r="D5" s="127" t="s">
        <v>913</v>
      </c>
    </row>
    <row r="6" spans="2:4">
      <c r="B6" s="125">
        <v>3</v>
      </c>
      <c r="C6" s="131" t="s">
        <v>562</v>
      </c>
      <c r="D6" s="127" t="s">
        <v>918</v>
      </c>
    </row>
    <row r="7" spans="2:4">
      <c r="B7" s="125">
        <v>4</v>
      </c>
      <c r="C7" s="131" t="s">
        <v>558</v>
      </c>
      <c r="D7" s="127" t="s">
        <v>917</v>
      </c>
    </row>
    <row r="8" spans="2:4">
      <c r="B8" s="125">
        <v>5</v>
      </c>
      <c r="C8" s="131" t="s">
        <v>559</v>
      </c>
      <c r="D8" s="127" t="s">
        <v>919</v>
      </c>
    </row>
    <row r="9" spans="2:4">
      <c r="B9" s="125">
        <v>6</v>
      </c>
      <c r="C9" s="131" t="s">
        <v>563</v>
      </c>
      <c r="D9" s="127" t="s">
        <v>920</v>
      </c>
    </row>
    <row r="10" spans="2:4">
      <c r="B10" s="125">
        <v>7</v>
      </c>
      <c r="C10" s="131" t="s">
        <v>551</v>
      </c>
      <c r="D10" s="126" t="s">
        <v>921</v>
      </c>
    </row>
    <row r="11" spans="2:4">
      <c r="B11" s="125">
        <v>8</v>
      </c>
      <c r="C11" s="131" t="s">
        <v>258</v>
      </c>
      <c r="D11" s="126" t="s">
        <v>922</v>
      </c>
    </row>
    <row r="12" spans="2:4">
      <c r="B12" s="125">
        <v>9</v>
      </c>
      <c r="C12" s="131" t="s">
        <v>257</v>
      </c>
      <c r="D12" s="126" t="s">
        <v>923</v>
      </c>
    </row>
    <row r="13" spans="2:4">
      <c r="B13" s="125">
        <v>10</v>
      </c>
      <c r="C13" s="131" t="s">
        <v>256</v>
      </c>
      <c r="D13" s="126" t="s">
        <v>924</v>
      </c>
    </row>
    <row r="14" spans="2:4">
      <c r="B14" s="125">
        <v>11</v>
      </c>
      <c r="C14" s="131" t="s">
        <v>255</v>
      </c>
      <c r="D14" s="126" t="s">
        <v>925</v>
      </c>
    </row>
    <row r="15" spans="2:4">
      <c r="B15" s="125">
        <v>12</v>
      </c>
      <c r="C15" s="131" t="s">
        <v>603</v>
      </c>
      <c r="D15" s="126" t="s">
        <v>926</v>
      </c>
    </row>
    <row r="16" spans="2:4">
      <c r="B16" s="125">
        <v>13</v>
      </c>
      <c r="C16" s="131" t="s">
        <v>602</v>
      </c>
      <c r="D16" s="126" t="s">
        <v>927</v>
      </c>
    </row>
    <row r="17" spans="2:4">
      <c r="B17" s="125">
        <v>14</v>
      </c>
      <c r="C17" s="131" t="s">
        <v>894</v>
      </c>
      <c r="D17" s="126" t="s">
        <v>928</v>
      </c>
    </row>
    <row r="18" spans="2:4">
      <c r="B18" s="125">
        <v>15</v>
      </c>
      <c r="C18" s="131" t="s">
        <v>538</v>
      </c>
      <c r="D18" s="126" t="s">
        <v>916</v>
      </c>
    </row>
    <row r="19" spans="2:4">
      <c r="B19" s="125">
        <v>16</v>
      </c>
      <c r="C19" s="131" t="s">
        <v>540</v>
      </c>
      <c r="D19" s="126" t="s">
        <v>929</v>
      </c>
    </row>
    <row r="20" spans="2:4">
      <c r="B20" s="125">
        <v>17</v>
      </c>
      <c r="C20" s="131" t="s">
        <v>535</v>
      </c>
      <c r="D20" s="126" t="s">
        <v>930</v>
      </c>
    </row>
    <row r="21" spans="2:4">
      <c r="B21" s="125">
        <v>18</v>
      </c>
      <c r="C21" s="131" t="s">
        <v>539</v>
      </c>
      <c r="D21" s="126" t="s">
        <v>931</v>
      </c>
    </row>
    <row r="22" spans="2:4">
      <c r="B22" s="125">
        <v>19</v>
      </c>
      <c r="C22" s="131" t="s">
        <v>478</v>
      </c>
      <c r="D22" s="126" t="s">
        <v>932</v>
      </c>
    </row>
    <row r="23" spans="2:4">
      <c r="B23" s="125">
        <v>20</v>
      </c>
      <c r="C23" s="131" t="s">
        <v>601</v>
      </c>
      <c r="D23" s="126" t="s">
        <v>928</v>
      </c>
    </row>
    <row r="24" spans="2:4">
      <c r="B24" s="125">
        <v>21</v>
      </c>
      <c r="C24" s="131" t="s">
        <v>364</v>
      </c>
      <c r="D24" s="126" t="s">
        <v>933</v>
      </c>
    </row>
    <row r="25" spans="2:4">
      <c r="B25" s="125">
        <v>22</v>
      </c>
      <c r="C25" s="131" t="s">
        <v>271</v>
      </c>
      <c r="D25" s="126" t="s">
        <v>934</v>
      </c>
    </row>
    <row r="26" spans="2:4">
      <c r="B26" s="125">
        <v>23</v>
      </c>
      <c r="C26" s="131" t="s">
        <v>270</v>
      </c>
      <c r="D26" s="126" t="s">
        <v>935</v>
      </c>
    </row>
    <row r="27" spans="2:4">
      <c r="B27" s="125">
        <v>24</v>
      </c>
      <c r="C27" s="131" t="s">
        <v>260</v>
      </c>
      <c r="D27" s="126" t="s">
        <v>914</v>
      </c>
    </row>
    <row r="28" spans="2:4">
      <c r="B28" s="125">
        <v>25</v>
      </c>
      <c r="C28" s="131" t="s">
        <v>262</v>
      </c>
      <c r="D28" s="126" t="s">
        <v>915</v>
      </c>
    </row>
    <row r="29" spans="2:4">
      <c r="B29" s="125">
        <v>26</v>
      </c>
      <c r="C29" s="131" t="s">
        <v>264</v>
      </c>
      <c r="D29" s="126" t="s">
        <v>936</v>
      </c>
    </row>
    <row r="30" spans="2:4">
      <c r="B30" s="125">
        <v>27</v>
      </c>
      <c r="C30" s="131" t="s">
        <v>266</v>
      </c>
      <c r="D30" s="126" t="s">
        <v>936</v>
      </c>
    </row>
    <row r="31" spans="2:4">
      <c r="B31" s="125">
        <v>28</v>
      </c>
      <c r="C31" s="131" t="s">
        <v>481</v>
      </c>
      <c r="D31" s="126" t="s">
        <v>936</v>
      </c>
    </row>
    <row r="32" spans="2:4">
      <c r="B32" s="125">
        <v>29</v>
      </c>
      <c r="C32" s="131" t="s">
        <v>480</v>
      </c>
      <c r="D32" s="126" t="s">
        <v>936</v>
      </c>
    </row>
    <row r="33" spans="2:4">
      <c r="B33" s="125">
        <v>30</v>
      </c>
      <c r="C33" s="131" t="s">
        <v>476</v>
      </c>
      <c r="D33" s="126" t="s">
        <v>936</v>
      </c>
    </row>
    <row r="34" spans="2:4">
      <c r="B34" s="125">
        <v>31</v>
      </c>
      <c r="C34" s="131" t="s">
        <v>477</v>
      </c>
      <c r="D34" s="126" t="s">
        <v>936</v>
      </c>
    </row>
    <row r="35" spans="2:4">
      <c r="B35" s="125">
        <v>32</v>
      </c>
      <c r="C35" s="131" t="s">
        <v>478</v>
      </c>
      <c r="D35" s="126" t="s">
        <v>932</v>
      </c>
    </row>
    <row r="36" spans="2:4">
      <c r="B36" s="125">
        <v>33</v>
      </c>
      <c r="C36" s="131" t="s">
        <v>254</v>
      </c>
      <c r="D36" s="126" t="s">
        <v>937</v>
      </c>
    </row>
    <row r="37" spans="2:4">
      <c r="B37" s="125">
        <v>34</v>
      </c>
      <c r="C37" s="131" t="s">
        <v>600</v>
      </c>
      <c r="D37" s="126" t="s">
        <v>938</v>
      </c>
    </row>
    <row r="38" spans="2:4">
      <c r="B38" s="125">
        <v>35</v>
      </c>
      <c r="C38" s="131" t="s">
        <v>295</v>
      </c>
      <c r="D38" s="126" t="s">
        <v>939</v>
      </c>
    </row>
    <row r="39" spans="2:4">
      <c r="B39" s="125">
        <v>36</v>
      </c>
      <c r="C39" s="131" t="s">
        <v>254</v>
      </c>
      <c r="D39" s="126" t="s">
        <v>937</v>
      </c>
    </row>
    <row r="40" spans="2:4">
      <c r="B40" s="125">
        <v>37</v>
      </c>
      <c r="C40" s="131" t="s">
        <v>338</v>
      </c>
      <c r="D40" s="126" t="s">
        <v>940</v>
      </c>
    </row>
    <row r="41" spans="2:4">
      <c r="B41" s="125">
        <v>38</v>
      </c>
      <c r="C41" s="131" t="s">
        <v>340</v>
      </c>
      <c r="D41" s="126" t="s">
        <v>941</v>
      </c>
    </row>
    <row r="42" spans="2:4">
      <c r="B42" s="125">
        <v>39</v>
      </c>
      <c r="C42" s="131" t="s">
        <v>350</v>
      </c>
      <c r="D42" s="126" t="s">
        <v>928</v>
      </c>
    </row>
    <row r="43" spans="2:4">
      <c r="B43" s="125">
        <v>40</v>
      </c>
      <c r="C43" s="131" t="s">
        <v>478</v>
      </c>
      <c r="D43" s="126" t="s">
        <v>932</v>
      </c>
    </row>
    <row r="44" spans="2:4">
      <c r="B44" s="125">
        <v>41</v>
      </c>
      <c r="C44" s="131" t="s">
        <v>335</v>
      </c>
      <c r="D44" s="126" t="s">
        <v>942</v>
      </c>
    </row>
    <row r="45" spans="2:4">
      <c r="B45" s="125">
        <v>42</v>
      </c>
      <c r="C45" s="131" t="s">
        <v>532</v>
      </c>
      <c r="D45" s="126" t="s">
        <v>943</v>
      </c>
    </row>
    <row r="46" spans="2:4">
      <c r="B46" s="125">
        <v>43</v>
      </c>
      <c r="C46" s="131" t="s">
        <v>325</v>
      </c>
      <c r="D46" s="132" t="s">
        <v>944</v>
      </c>
    </row>
    <row r="47" spans="2:4">
      <c r="B47" s="125">
        <v>44</v>
      </c>
      <c r="C47" s="131" t="s">
        <v>479</v>
      </c>
      <c r="D47" s="126" t="s">
        <v>945</v>
      </c>
    </row>
    <row r="48" spans="2:4">
      <c r="B48" s="125">
        <v>45</v>
      </c>
      <c r="C48" s="131" t="s">
        <v>533</v>
      </c>
      <c r="D48" s="126" t="s">
        <v>946</v>
      </c>
    </row>
    <row r="49" spans="2:4">
      <c r="B49" s="125">
        <v>46</v>
      </c>
      <c r="C49" s="131" t="s">
        <v>534</v>
      </c>
      <c r="D49" s="126" t="s">
        <v>947</v>
      </c>
    </row>
    <row r="50" spans="2:4">
      <c r="B50" s="125">
        <v>47</v>
      </c>
      <c r="C50" s="131" t="s">
        <v>195</v>
      </c>
      <c r="D50" s="126" t="s">
        <v>896</v>
      </c>
    </row>
    <row r="51" spans="2:4">
      <c r="B51" s="125">
        <v>48</v>
      </c>
      <c r="C51" s="131" t="s">
        <v>11</v>
      </c>
      <c r="D51" s="126" t="s">
        <v>896</v>
      </c>
    </row>
    <row r="52" spans="2:4">
      <c r="B52" s="125">
        <v>49</v>
      </c>
      <c r="C52" s="131" t="s">
        <v>10</v>
      </c>
      <c r="D52" s="126" t="s">
        <v>896</v>
      </c>
    </row>
    <row r="53" spans="2:4">
      <c r="B53" s="125">
        <v>50</v>
      </c>
      <c r="C53" s="131" t="s">
        <v>9</v>
      </c>
      <c r="D53" s="126" t="s">
        <v>896</v>
      </c>
    </row>
    <row r="54" spans="2:4">
      <c r="B54" s="125">
        <v>51</v>
      </c>
      <c r="C54" s="131" t="s">
        <v>8</v>
      </c>
      <c r="D54" s="126" t="s">
        <v>896</v>
      </c>
    </row>
    <row r="55" spans="2:4">
      <c r="B55" s="125">
        <v>52</v>
      </c>
      <c r="C55" s="131" t="s">
        <v>364</v>
      </c>
      <c r="D55" s="126" t="s">
        <v>948</v>
      </c>
    </row>
    <row r="56" spans="2:4">
      <c r="B56" s="125">
        <v>53</v>
      </c>
      <c r="C56" s="131" t="s">
        <v>478</v>
      </c>
      <c r="D56" s="126" t="s">
        <v>949</v>
      </c>
    </row>
    <row r="57" spans="2:4">
      <c r="B57" s="125">
        <v>54</v>
      </c>
      <c r="C57" s="131" t="s">
        <v>274</v>
      </c>
      <c r="D57" s="126" t="s">
        <v>899</v>
      </c>
    </row>
    <row r="58" spans="2:4">
      <c r="B58" s="125">
        <v>55</v>
      </c>
      <c r="C58" s="131" t="s">
        <v>275</v>
      </c>
      <c r="D58" s="126" t="s">
        <v>897</v>
      </c>
    </row>
    <row r="59" spans="2:4">
      <c r="B59" s="125">
        <v>56</v>
      </c>
      <c r="C59" s="131" t="s">
        <v>276</v>
      </c>
      <c r="D59" s="126" t="s">
        <v>902</v>
      </c>
    </row>
    <row r="60" spans="2:4">
      <c r="B60" s="125">
        <v>57</v>
      </c>
      <c r="C60" s="131" t="s">
        <v>277</v>
      </c>
      <c r="D60" s="126" t="s">
        <v>903</v>
      </c>
    </row>
    <row r="61" spans="2:4">
      <c r="B61" s="125">
        <v>58</v>
      </c>
      <c r="C61" s="131" t="s">
        <v>278</v>
      </c>
      <c r="D61" s="126" t="s">
        <v>898</v>
      </c>
    </row>
    <row r="62" spans="2:4">
      <c r="B62" s="125">
        <v>59</v>
      </c>
      <c r="C62" s="131" t="s">
        <v>279</v>
      </c>
      <c r="D62" s="126" t="s">
        <v>900</v>
      </c>
    </row>
    <row r="63" spans="2:4">
      <c r="B63" s="125">
        <v>60</v>
      </c>
      <c r="C63" s="131" t="s">
        <v>280</v>
      </c>
      <c r="D63" s="126" t="s">
        <v>901</v>
      </c>
    </row>
    <row r="64" spans="2:4">
      <c r="B64" s="125">
        <v>61</v>
      </c>
      <c r="C64" s="131" t="s">
        <v>892</v>
      </c>
      <c r="D64" s="126" t="s">
        <v>950</v>
      </c>
    </row>
    <row r="65" spans="2:4">
      <c r="B65" s="125">
        <v>62</v>
      </c>
      <c r="C65" s="131" t="s">
        <v>281</v>
      </c>
      <c r="D65" s="126" t="s">
        <v>951</v>
      </c>
    </row>
    <row r="66" spans="2:4">
      <c r="B66" s="125">
        <v>63</v>
      </c>
      <c r="C66" s="131" t="s">
        <v>282</v>
      </c>
      <c r="D66" s="126" t="s">
        <v>952</v>
      </c>
    </row>
    <row r="67" spans="2:4">
      <c r="B67" s="125">
        <v>64</v>
      </c>
      <c r="C67" s="131" t="s">
        <v>2</v>
      </c>
      <c r="D67" s="126" t="s">
        <v>953</v>
      </c>
    </row>
    <row r="68" spans="2:4">
      <c r="B68" s="125">
        <v>65</v>
      </c>
      <c r="C68" s="131" t="s">
        <v>1</v>
      </c>
      <c r="D68" s="126" t="s">
        <v>954</v>
      </c>
    </row>
    <row r="69" spans="2:4">
      <c r="B69" s="125">
        <v>66</v>
      </c>
      <c r="C69" s="131" t="s">
        <v>283</v>
      </c>
      <c r="D69" s="126" t="s">
        <v>955</v>
      </c>
    </row>
    <row r="70" spans="2:4">
      <c r="B70" s="125">
        <v>67</v>
      </c>
      <c r="C70" s="131" t="s">
        <v>45</v>
      </c>
      <c r="D70" s="126" t="s">
        <v>956</v>
      </c>
    </row>
    <row r="71" spans="2:4">
      <c r="B71" s="125">
        <v>68</v>
      </c>
      <c r="C71" s="131" t="s">
        <v>46</v>
      </c>
      <c r="D71" s="126" t="s">
        <v>957</v>
      </c>
    </row>
    <row r="72" spans="2:4">
      <c r="B72" s="125">
        <v>69</v>
      </c>
      <c r="C72" s="131" t="s">
        <v>47</v>
      </c>
      <c r="D72" s="126" t="s">
        <v>957</v>
      </c>
    </row>
    <row r="73" spans="2:4">
      <c r="B73" s="125">
        <v>70</v>
      </c>
      <c r="C73" s="131" t="s">
        <v>48</v>
      </c>
      <c r="D73" s="126" t="s">
        <v>957</v>
      </c>
    </row>
    <row r="74" spans="2:4">
      <c r="B74" s="125">
        <v>71</v>
      </c>
      <c r="C74" s="131" t="s">
        <v>272</v>
      </c>
      <c r="D74" s="126" t="s">
        <v>958</v>
      </c>
    </row>
    <row r="75" spans="2:4">
      <c r="B75" s="125">
        <v>72</v>
      </c>
      <c r="C75" s="131" t="s">
        <v>556</v>
      </c>
      <c r="D75" s="126" t="s">
        <v>959</v>
      </c>
    </row>
    <row r="76" spans="2:4">
      <c r="B76" s="125">
        <v>73</v>
      </c>
      <c r="C76" s="131" t="s">
        <v>891</v>
      </c>
      <c r="D76" s="126" t="s">
        <v>960</v>
      </c>
    </row>
    <row r="77" spans="2:4">
      <c r="B77" s="125">
        <v>74</v>
      </c>
      <c r="C77" s="133" t="s">
        <v>599</v>
      </c>
      <c r="D77" s="126" t="s">
        <v>961</v>
      </c>
    </row>
    <row r="78" spans="2:4">
      <c r="B78" s="125">
        <v>75</v>
      </c>
      <c r="C78" s="131" t="s">
        <v>429</v>
      </c>
      <c r="D78" s="126" t="s">
        <v>904</v>
      </c>
    </row>
    <row r="79" spans="2:4">
      <c r="B79" s="125">
        <v>76</v>
      </c>
      <c r="C79" s="131" t="s">
        <v>427</v>
      </c>
      <c r="D79" s="126" t="s">
        <v>905</v>
      </c>
    </row>
    <row r="80" spans="2:4">
      <c r="B80" s="125">
        <v>77</v>
      </c>
      <c r="C80" s="131" t="s">
        <v>431</v>
      </c>
      <c r="D80" s="126" t="s">
        <v>905</v>
      </c>
    </row>
    <row r="81" spans="2:4">
      <c r="B81" s="125">
        <v>78</v>
      </c>
      <c r="C81" s="131" t="s">
        <v>364</v>
      </c>
      <c r="D81" s="126" t="s">
        <v>906</v>
      </c>
    </row>
    <row r="82" spans="2:4">
      <c r="B82" s="125">
        <v>79</v>
      </c>
      <c r="C82" s="131" t="s">
        <v>478</v>
      </c>
      <c r="D82" s="126" t="s">
        <v>962</v>
      </c>
    </row>
    <row r="83" spans="2:4">
      <c r="B83" s="125">
        <v>80</v>
      </c>
      <c r="C83" s="131" t="s">
        <v>366</v>
      </c>
      <c r="D83" s="126" t="s">
        <v>896</v>
      </c>
    </row>
    <row r="84" spans="2:4">
      <c r="B84" s="125">
        <v>81</v>
      </c>
      <c r="C84" s="131" t="s">
        <v>64</v>
      </c>
      <c r="D84" s="126" t="s">
        <v>896</v>
      </c>
    </row>
    <row r="85" spans="2:4">
      <c r="B85" s="125">
        <v>82</v>
      </c>
      <c r="C85" s="131" t="s">
        <v>269</v>
      </c>
      <c r="D85" s="126" t="s">
        <v>908</v>
      </c>
    </row>
    <row r="86" spans="2:4">
      <c r="B86" s="125">
        <v>83</v>
      </c>
      <c r="C86" s="131" t="s">
        <v>268</v>
      </c>
      <c r="D86" s="126" t="s">
        <v>907</v>
      </c>
    </row>
    <row r="87" spans="2:4">
      <c r="B87" s="125">
        <v>84</v>
      </c>
      <c r="C87" s="131" t="s">
        <v>267</v>
      </c>
      <c r="D87" s="126" t="s">
        <v>910</v>
      </c>
    </row>
    <row r="88" spans="2:4">
      <c r="B88" s="125">
        <v>85</v>
      </c>
      <c r="C88" s="131" t="s">
        <v>265</v>
      </c>
      <c r="D88" s="126" t="s">
        <v>909</v>
      </c>
    </row>
    <row r="89" spans="2:4">
      <c r="B89" s="125">
        <v>86</v>
      </c>
      <c r="C89" s="131" t="s">
        <v>263</v>
      </c>
      <c r="D89" s="126" t="s">
        <v>963</v>
      </c>
    </row>
    <row r="90" spans="2:4">
      <c r="B90" s="125">
        <v>87</v>
      </c>
      <c r="C90" s="131" t="s">
        <v>261</v>
      </c>
      <c r="D90" s="126" t="s">
        <v>911</v>
      </c>
    </row>
    <row r="91" spans="2:4" ht="15.75" thickBot="1">
      <c r="B91" s="128">
        <v>88</v>
      </c>
      <c r="C91" s="134" t="s">
        <v>259</v>
      </c>
      <c r="D91" s="135" t="s">
        <v>964</v>
      </c>
    </row>
  </sheetData>
  <mergeCells count="1">
    <mergeCell ref="B2:D2"/>
  </mergeCells>
  <phoneticPr fontId="13" type="noConversion"/>
  <conditionalFormatting sqref="C4:D4 C5 D5:D9">
    <cfRule type="containsText" dxfId="5" priority="13" operator="containsText" text="USB_PWREN">
      <formula>NOT(ISERROR(SEARCH("USB_PWREN",C4)))</formula>
    </cfRule>
  </conditionalFormatting>
  <conditionalFormatting sqref="B3:D3">
    <cfRule type="containsText" dxfId="4" priority="10" operator="containsText" text="VDD_DDR">
      <formula>NOT(ISERROR(SEARCH("VDD_DDR",B3)))</formula>
    </cfRule>
    <cfRule type="containsText" dxfId="3" priority="11" operator="containsText" text="VDDK">
      <formula>NOT(ISERROR(SEARCH("VDDK",B3)))</formula>
    </cfRule>
    <cfRule type="containsText" dxfId="2" priority="12" operator="containsText" text="VDD">
      <formula>NOT(ISERROR(SEARCH("VDD",B3)))</formula>
    </cfRule>
  </conditionalFormatting>
  <conditionalFormatting sqref="D3">
    <cfRule type="containsText" dxfId="1" priority="9" operator="containsText" text="USB_PWREN">
      <formula>NOT(ISERROR(SEARCH("USB_PWREN",D3)))</formula>
    </cfRule>
  </conditionalFormatting>
  <conditionalFormatting sqref="B4:B91">
    <cfRule type="containsText" dxfId="0" priority="8" operator="containsText" text="USB_PWREN">
      <formula>NOT(ISERROR(SEARCH("USB_PWREN",B4)))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C28" sqref="C28"/>
    </sheetView>
  </sheetViews>
  <sheetFormatPr defaultRowHeight="13.5"/>
  <cols>
    <col min="1" max="1" width="19.125" style="12" customWidth="1"/>
    <col min="2" max="2" width="15.5" style="12" customWidth="1"/>
    <col min="3" max="3" width="19" customWidth="1"/>
    <col min="4" max="4" width="54.625" customWidth="1"/>
  </cols>
  <sheetData>
    <row r="1" spans="1:4">
      <c r="A1" s="21" t="s">
        <v>196</v>
      </c>
      <c r="B1" s="21" t="s">
        <v>197</v>
      </c>
      <c r="C1" s="21"/>
      <c r="D1" s="22" t="s">
        <v>198</v>
      </c>
    </row>
    <row r="2" spans="1:4">
      <c r="A2" s="23">
        <v>45012</v>
      </c>
      <c r="B2" s="21">
        <v>1</v>
      </c>
      <c r="C2" s="21"/>
      <c r="D2" s="22" t="s">
        <v>895</v>
      </c>
    </row>
    <row r="3" spans="1:4">
      <c r="A3" s="21"/>
      <c r="B3" s="21"/>
      <c r="C3" s="21"/>
      <c r="D3" s="22"/>
    </row>
    <row r="4" spans="1:4">
      <c r="A4" s="21"/>
      <c r="B4" s="21"/>
      <c r="C4" s="21"/>
      <c r="D4" s="22"/>
    </row>
    <row r="5" spans="1:4">
      <c r="A5" s="21"/>
      <c r="B5" s="21"/>
      <c r="C5" s="21"/>
      <c r="D5" s="22"/>
    </row>
    <row r="6" spans="1:4">
      <c r="A6" s="21"/>
      <c r="B6" s="21"/>
      <c r="C6" s="21"/>
      <c r="D6" s="22"/>
    </row>
    <row r="7" spans="1:4">
      <c r="A7" s="21"/>
      <c r="B7" s="21"/>
      <c r="C7" s="21"/>
      <c r="D7" s="22"/>
    </row>
    <row r="8" spans="1:4">
      <c r="A8" s="21"/>
      <c r="B8" s="21"/>
      <c r="C8" s="21"/>
      <c r="D8" s="22"/>
    </row>
    <row r="9" spans="1:4">
      <c r="A9" s="21"/>
      <c r="B9" s="21"/>
      <c r="C9" s="21"/>
      <c r="D9" s="22"/>
    </row>
    <row r="10" spans="1:4">
      <c r="A10" s="21"/>
      <c r="B10" s="21"/>
      <c r="C10" s="21"/>
      <c r="D10" s="22"/>
    </row>
    <row r="11" spans="1:4">
      <c r="A11" s="21"/>
      <c r="B11" s="21"/>
      <c r="C11" s="21"/>
      <c r="D11" s="22"/>
    </row>
    <row r="12" spans="1:4">
      <c r="A12" s="21"/>
      <c r="B12" s="21"/>
      <c r="C12" s="21"/>
      <c r="D12" s="22"/>
    </row>
    <row r="13" spans="1:4">
      <c r="A13" s="21"/>
      <c r="B13" s="21"/>
      <c r="C13" s="21"/>
      <c r="D13" s="22"/>
    </row>
    <row r="14" spans="1:4">
      <c r="A14" s="21"/>
      <c r="B14" s="21"/>
      <c r="C14" s="21"/>
      <c r="D14" s="22"/>
    </row>
    <row r="15" spans="1:4">
      <c r="A15" s="21"/>
      <c r="B15" s="21"/>
      <c r="C15" s="21"/>
      <c r="D15" s="22"/>
    </row>
    <row r="16" spans="1:4">
      <c r="A16" s="23"/>
      <c r="B16" s="21"/>
      <c r="C16" s="21"/>
      <c r="D16" s="22"/>
    </row>
    <row r="17" spans="1:4">
      <c r="A17" s="23"/>
      <c r="B17" s="21"/>
      <c r="C17" s="21"/>
      <c r="D17" s="22"/>
    </row>
    <row r="18" spans="1:4">
      <c r="A18" s="23"/>
      <c r="B18" s="21"/>
      <c r="C18" s="21"/>
      <c r="D18" s="22"/>
    </row>
    <row r="19" spans="1:4">
      <c r="A19" s="23"/>
      <c r="B19" s="21"/>
      <c r="C19" s="21"/>
      <c r="D19" s="22"/>
    </row>
    <row r="20" spans="1:4">
      <c r="A20" s="23"/>
      <c r="B20" s="21"/>
      <c r="C20" s="21"/>
      <c r="D20" s="22"/>
    </row>
    <row r="21" spans="1:4">
      <c r="A21" s="23"/>
      <c r="B21" s="21"/>
      <c r="C21" s="21"/>
      <c r="D21" s="19"/>
    </row>
    <row r="22" spans="1:4">
      <c r="A22" s="23"/>
      <c r="B22" s="21"/>
      <c r="C22" s="21"/>
      <c r="D22" s="20"/>
    </row>
    <row r="23" spans="1:4">
      <c r="A23" s="23"/>
      <c r="B23" s="26"/>
      <c r="C23" s="26"/>
      <c r="D23" s="25"/>
    </row>
    <row r="24" spans="1:4">
      <c r="A24" s="23"/>
      <c r="B24" s="26"/>
      <c r="C24" s="26"/>
      <c r="D24" s="22"/>
    </row>
    <row r="25" spans="1:4">
      <c r="A25" s="23"/>
      <c r="B25" s="28"/>
      <c r="C25" s="28"/>
      <c r="D25" s="22"/>
    </row>
    <row r="26" spans="1:4">
      <c r="A26" s="29"/>
      <c r="C26" s="28"/>
    </row>
    <row r="27" spans="1:4">
      <c r="A27" s="29"/>
      <c r="C27" s="28"/>
      <c r="D27" s="20"/>
    </row>
    <row r="28" spans="1:4">
      <c r="A28" s="29"/>
      <c r="C28" s="28"/>
      <c r="D28" s="20"/>
    </row>
    <row r="29" spans="1:4">
      <c r="A29" s="29"/>
      <c r="C29" s="28"/>
    </row>
    <row r="30" spans="1:4">
      <c r="A30" s="29"/>
      <c r="C30" s="28"/>
    </row>
    <row r="31" spans="1:4">
      <c r="A31" s="29"/>
      <c r="C31" s="28"/>
      <c r="D31" s="20"/>
    </row>
    <row r="32" spans="1:4">
      <c r="A32" s="29"/>
      <c r="C32" s="28"/>
      <c r="D32" s="20"/>
    </row>
    <row r="33" spans="1:4">
      <c r="A33" s="29"/>
      <c r="C33" s="28"/>
      <c r="D33" s="20"/>
    </row>
    <row r="34" spans="1:4">
      <c r="A34" s="29"/>
      <c r="C34" s="28"/>
      <c r="D34" s="20"/>
    </row>
    <row r="35" spans="1:4">
      <c r="A35" s="29"/>
      <c r="C35" s="28"/>
      <c r="D35" s="20"/>
    </row>
    <row r="36" spans="1:4">
      <c r="A36" s="29"/>
      <c r="C36" s="28"/>
      <c r="D36" s="20"/>
    </row>
  </sheetData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PIN_MUX</vt:lpstr>
      <vt:lpstr>管脚分布</vt:lpstr>
      <vt:lpstr>IO_STATUS</vt:lpstr>
      <vt:lpstr>temp_file</vt:lpstr>
      <vt:lpstr>管脚列表QFN88</vt:lpstr>
      <vt:lpstr>更新记录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2023-05-17T05:48:45Z</dcterms:modified>
</cp:coreProperties>
</file>